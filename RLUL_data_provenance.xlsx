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ql-subscription-framework\"/>
    </mc:Choice>
  </mc:AlternateContent>
  <xr:revisionPtr revIDLastSave="0" documentId="13_ncr:1_{704A38F0-823A-4FCF-9CAD-EC7CE06DDFCD}" xr6:coauthVersionLast="47" xr6:coauthVersionMax="47" xr10:uidLastSave="{00000000-0000-0000-0000-000000000000}"/>
  <bookViews>
    <workbookView xWindow="-98" yWindow="-98" windowWidth="21795" windowHeight="13096" activeTab="1" xr2:uid="{47BC6209-F609-4EFA-A7CB-273F3F95DA4D}"/>
  </bookViews>
  <sheets>
    <sheet name="README" sheetId="1" r:id="rId1"/>
    <sheet name="Assumptions" sheetId="2" r:id="rId2"/>
    <sheet name="Cost_Source" sheetId="3" r:id="rId3"/>
    <sheet name="Usage_Base" sheetId="4" r:id="rId4"/>
    <sheet name="counter_usage" sheetId="5" r:id="rId5"/>
    <sheet name="faculty_usage" sheetId="6" r:id="rId6"/>
    <sheet name="Checks" sheetId="7" r:id="rId7"/>
  </sheets>
  <definedNames>
    <definedName name="CostFactor">Assumptions!$B$6</definedName>
    <definedName name="DenialRate">Assumptions!$B$10</definedName>
    <definedName name="SearchRatio">Assumptions!$B$7</definedName>
    <definedName name="TA_ID">Assumptions!$A$35:$A$36</definedName>
    <definedName name="TA_Start">Assumptions!$B$35:$B$36</definedName>
    <definedName name="TAOAShare">Assumptions!$B$11</definedName>
    <definedName name="UniqueCtrl">Assumptions!$B$8</definedName>
    <definedName name="UniqueOA">Assumptions!$B$9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7" i="6" l="1"/>
  <c r="F147" i="6" s="1"/>
  <c r="D147" i="6"/>
  <c r="E146" i="6"/>
  <c r="F146" i="6" s="1"/>
  <c r="D146" i="6"/>
  <c r="E145" i="6"/>
  <c r="F145" i="6" s="1"/>
  <c r="D145" i="6"/>
  <c r="E144" i="6"/>
  <c r="F144" i="6" s="1"/>
  <c r="D144" i="6"/>
  <c r="E143" i="6"/>
  <c r="F143" i="6" s="1"/>
  <c r="D143" i="6"/>
  <c r="E142" i="6"/>
  <c r="F142" i="6" s="1"/>
  <c r="D142" i="6"/>
  <c r="E141" i="6"/>
  <c r="F141" i="6" s="1"/>
  <c r="D141" i="6"/>
  <c r="E140" i="6"/>
  <c r="F140" i="6" s="1"/>
  <c r="D140" i="6"/>
  <c r="G140" i="6" s="1"/>
  <c r="H140" i="6" s="1"/>
  <c r="J140" i="6" s="1"/>
  <c r="E139" i="6"/>
  <c r="F139" i="6" s="1"/>
  <c r="D139" i="6"/>
  <c r="G139" i="6" s="1"/>
  <c r="E138" i="6"/>
  <c r="F138" i="6" s="1"/>
  <c r="D138" i="6"/>
  <c r="G137" i="6"/>
  <c r="H137" i="6" s="1"/>
  <c r="J137" i="6" s="1"/>
  <c r="F137" i="6"/>
  <c r="E137" i="6"/>
  <c r="D137" i="6"/>
  <c r="G136" i="6"/>
  <c r="H136" i="6" s="1"/>
  <c r="J136" i="6" s="1"/>
  <c r="F136" i="6"/>
  <c r="E136" i="6"/>
  <c r="D136" i="6"/>
  <c r="G135" i="6"/>
  <c r="F135" i="6"/>
  <c r="E135" i="6"/>
  <c r="D135" i="6"/>
  <c r="H135" i="6" s="1"/>
  <c r="J135" i="6" s="1"/>
  <c r="F134" i="6"/>
  <c r="G134" i="6" s="1"/>
  <c r="H134" i="6" s="1"/>
  <c r="J134" i="6" s="1"/>
  <c r="E134" i="6"/>
  <c r="D134" i="6"/>
  <c r="F133" i="6"/>
  <c r="E133" i="6"/>
  <c r="D133" i="6"/>
  <c r="G133" i="6" s="1"/>
  <c r="H133" i="6" s="1"/>
  <c r="J133" i="6" s="1"/>
  <c r="F132" i="6"/>
  <c r="G132" i="6" s="1"/>
  <c r="H132" i="6" s="1"/>
  <c r="J132" i="6" s="1"/>
  <c r="E132" i="6"/>
  <c r="D132" i="6"/>
  <c r="E131" i="6"/>
  <c r="F131" i="6" s="1"/>
  <c r="D131" i="6"/>
  <c r="E130" i="6"/>
  <c r="F130" i="6" s="1"/>
  <c r="D130" i="6"/>
  <c r="G130" i="6" s="1"/>
  <c r="H130" i="6" s="1"/>
  <c r="J130" i="6" s="1"/>
  <c r="E129" i="6"/>
  <c r="F129" i="6" s="1"/>
  <c r="D129" i="6"/>
  <c r="E128" i="6"/>
  <c r="F128" i="6" s="1"/>
  <c r="D128" i="6"/>
  <c r="E127" i="6"/>
  <c r="F127" i="6" s="1"/>
  <c r="D127" i="6"/>
  <c r="E126" i="6"/>
  <c r="F126" i="6" s="1"/>
  <c r="D126" i="6"/>
  <c r="G126" i="6" s="1"/>
  <c r="H126" i="6" s="1"/>
  <c r="J126" i="6" s="1"/>
  <c r="E125" i="6"/>
  <c r="F125" i="6" s="1"/>
  <c r="D125" i="6"/>
  <c r="E124" i="6"/>
  <c r="F124" i="6" s="1"/>
  <c r="G124" i="6" s="1"/>
  <c r="H124" i="6" s="1"/>
  <c r="J124" i="6" s="1"/>
  <c r="D124" i="6"/>
  <c r="E123" i="6"/>
  <c r="F123" i="6" s="1"/>
  <c r="D123" i="6"/>
  <c r="G123" i="6" s="1"/>
  <c r="E122" i="6"/>
  <c r="F122" i="6" s="1"/>
  <c r="D122" i="6"/>
  <c r="G121" i="6"/>
  <c r="H121" i="6" s="1"/>
  <c r="J121" i="6" s="1"/>
  <c r="F121" i="6"/>
  <c r="E121" i="6"/>
  <c r="D121" i="6"/>
  <c r="G120" i="6"/>
  <c r="H120" i="6" s="1"/>
  <c r="J120" i="6" s="1"/>
  <c r="F120" i="6"/>
  <c r="E120" i="6"/>
  <c r="D120" i="6"/>
  <c r="G119" i="6"/>
  <c r="F119" i="6"/>
  <c r="E119" i="6"/>
  <c r="D119" i="6"/>
  <c r="F118" i="6"/>
  <c r="G118" i="6" s="1"/>
  <c r="H118" i="6" s="1"/>
  <c r="J118" i="6" s="1"/>
  <c r="E118" i="6"/>
  <c r="D118" i="6"/>
  <c r="F117" i="6"/>
  <c r="E117" i="6"/>
  <c r="D117" i="6"/>
  <c r="G117" i="6" s="1"/>
  <c r="H117" i="6" s="1"/>
  <c r="J117" i="6" s="1"/>
  <c r="F116" i="6"/>
  <c r="G116" i="6" s="1"/>
  <c r="H116" i="6" s="1"/>
  <c r="J116" i="6" s="1"/>
  <c r="E116" i="6"/>
  <c r="D116" i="6"/>
  <c r="E115" i="6"/>
  <c r="F115" i="6" s="1"/>
  <c r="D115" i="6"/>
  <c r="E114" i="6"/>
  <c r="F114" i="6" s="1"/>
  <c r="D114" i="6"/>
  <c r="E113" i="6"/>
  <c r="F113" i="6" s="1"/>
  <c r="D113" i="6"/>
  <c r="G113" i="6" s="1"/>
  <c r="H113" i="6" s="1"/>
  <c r="J113" i="6" s="1"/>
  <c r="E112" i="6"/>
  <c r="F112" i="6" s="1"/>
  <c r="D112" i="6"/>
  <c r="G112" i="6" s="1"/>
  <c r="H112" i="6" s="1"/>
  <c r="J112" i="6" s="1"/>
  <c r="E111" i="6"/>
  <c r="F111" i="6" s="1"/>
  <c r="D111" i="6"/>
  <c r="E110" i="6"/>
  <c r="F110" i="6" s="1"/>
  <c r="D110" i="6"/>
  <c r="E109" i="6"/>
  <c r="F109" i="6" s="1"/>
  <c r="D109" i="6"/>
  <c r="G109" i="6" s="1"/>
  <c r="H109" i="6" s="1"/>
  <c r="J109" i="6" s="1"/>
  <c r="H108" i="6"/>
  <c r="J108" i="6" s="1"/>
  <c r="G108" i="6"/>
  <c r="F108" i="6"/>
  <c r="E108" i="6"/>
  <c r="D108" i="6"/>
  <c r="E107" i="6"/>
  <c r="F107" i="6" s="1"/>
  <c r="D107" i="6"/>
  <c r="E106" i="6"/>
  <c r="F106" i="6" s="1"/>
  <c r="D106" i="6"/>
  <c r="G106" i="6" s="1"/>
  <c r="H106" i="6" s="1"/>
  <c r="J106" i="6" s="1"/>
  <c r="G105" i="6"/>
  <c r="H105" i="6" s="1"/>
  <c r="J105" i="6" s="1"/>
  <c r="F105" i="6"/>
  <c r="E105" i="6"/>
  <c r="D105" i="6"/>
  <c r="G104" i="6"/>
  <c r="H104" i="6" s="1"/>
  <c r="J104" i="6" s="1"/>
  <c r="F104" i="6"/>
  <c r="E104" i="6"/>
  <c r="D104" i="6"/>
  <c r="G103" i="6"/>
  <c r="F103" i="6"/>
  <c r="E103" i="6"/>
  <c r="D103" i="6"/>
  <c r="F102" i="6"/>
  <c r="E102" i="6"/>
  <c r="D102" i="6"/>
  <c r="G102" i="6" s="1"/>
  <c r="H102" i="6" s="1"/>
  <c r="J102" i="6" s="1"/>
  <c r="F101" i="6"/>
  <c r="E101" i="6"/>
  <c r="D101" i="6"/>
  <c r="G101" i="6" s="1"/>
  <c r="H101" i="6" s="1"/>
  <c r="J101" i="6" s="1"/>
  <c r="F100" i="6"/>
  <c r="G100" i="6" s="1"/>
  <c r="H100" i="6" s="1"/>
  <c r="J100" i="6" s="1"/>
  <c r="E100" i="6"/>
  <c r="D100" i="6"/>
  <c r="E99" i="6"/>
  <c r="F99" i="6" s="1"/>
  <c r="D99" i="6"/>
  <c r="E98" i="6"/>
  <c r="F98" i="6" s="1"/>
  <c r="D98" i="6"/>
  <c r="G98" i="6" s="1"/>
  <c r="H98" i="6" s="1"/>
  <c r="J98" i="6" s="1"/>
  <c r="E97" i="6"/>
  <c r="F97" i="6" s="1"/>
  <c r="D97" i="6"/>
  <c r="E96" i="6"/>
  <c r="F96" i="6" s="1"/>
  <c r="D96" i="6"/>
  <c r="E95" i="6"/>
  <c r="F95" i="6" s="1"/>
  <c r="D95" i="6"/>
  <c r="E94" i="6"/>
  <c r="F94" i="6" s="1"/>
  <c r="D94" i="6"/>
  <c r="G94" i="6" s="1"/>
  <c r="H94" i="6" s="1"/>
  <c r="J94" i="6" s="1"/>
  <c r="E93" i="6"/>
  <c r="F93" i="6" s="1"/>
  <c r="D93" i="6"/>
  <c r="H92" i="6"/>
  <c r="J92" i="6" s="1"/>
  <c r="G92" i="6"/>
  <c r="F92" i="6"/>
  <c r="E92" i="6"/>
  <c r="D92" i="6"/>
  <c r="E91" i="6"/>
  <c r="F91" i="6" s="1"/>
  <c r="G91" i="6" s="1"/>
  <c r="D91" i="6"/>
  <c r="E90" i="6"/>
  <c r="F90" i="6" s="1"/>
  <c r="D90" i="6"/>
  <c r="G90" i="6" s="1"/>
  <c r="H90" i="6" s="1"/>
  <c r="J90" i="6" s="1"/>
  <c r="G89" i="6"/>
  <c r="H89" i="6" s="1"/>
  <c r="J89" i="6" s="1"/>
  <c r="F89" i="6"/>
  <c r="E89" i="6"/>
  <c r="D89" i="6"/>
  <c r="G88" i="6"/>
  <c r="H88" i="6" s="1"/>
  <c r="J88" i="6" s="1"/>
  <c r="F88" i="6"/>
  <c r="E88" i="6"/>
  <c r="D88" i="6"/>
  <c r="G87" i="6"/>
  <c r="F87" i="6"/>
  <c r="E87" i="6"/>
  <c r="D87" i="6"/>
  <c r="F86" i="6"/>
  <c r="E86" i="6"/>
  <c r="D86" i="6"/>
  <c r="G86" i="6" s="1"/>
  <c r="H86" i="6" s="1"/>
  <c r="J86" i="6" s="1"/>
  <c r="F85" i="6"/>
  <c r="E85" i="6"/>
  <c r="D85" i="6"/>
  <c r="G85" i="6" s="1"/>
  <c r="H85" i="6" s="1"/>
  <c r="J85" i="6" s="1"/>
  <c r="F84" i="6"/>
  <c r="G84" i="6" s="1"/>
  <c r="H84" i="6" s="1"/>
  <c r="J84" i="6" s="1"/>
  <c r="E84" i="6"/>
  <c r="D84" i="6"/>
  <c r="E83" i="6"/>
  <c r="F83" i="6" s="1"/>
  <c r="D83" i="6"/>
  <c r="E82" i="6"/>
  <c r="F82" i="6" s="1"/>
  <c r="D82" i="6"/>
  <c r="E81" i="6"/>
  <c r="F81" i="6" s="1"/>
  <c r="G81" i="6" s="1"/>
  <c r="H81" i="6" s="1"/>
  <c r="J81" i="6" s="1"/>
  <c r="D81" i="6"/>
  <c r="E80" i="6"/>
  <c r="F80" i="6" s="1"/>
  <c r="D80" i="6"/>
  <c r="G80" i="6" s="1"/>
  <c r="H80" i="6" s="1"/>
  <c r="J80" i="6" s="1"/>
  <c r="E79" i="6"/>
  <c r="F79" i="6" s="1"/>
  <c r="D79" i="6"/>
  <c r="E78" i="6"/>
  <c r="F78" i="6" s="1"/>
  <c r="D78" i="6"/>
  <c r="E77" i="6"/>
  <c r="F77" i="6" s="1"/>
  <c r="D77" i="6"/>
  <c r="G77" i="6" s="1"/>
  <c r="H77" i="6" s="1"/>
  <c r="J77" i="6" s="1"/>
  <c r="H76" i="6"/>
  <c r="J76" i="6" s="1"/>
  <c r="G76" i="6"/>
  <c r="F76" i="6"/>
  <c r="E76" i="6"/>
  <c r="D76" i="6"/>
  <c r="E75" i="6"/>
  <c r="F75" i="6" s="1"/>
  <c r="G75" i="6" s="1"/>
  <c r="D75" i="6"/>
  <c r="E74" i="6"/>
  <c r="F74" i="6" s="1"/>
  <c r="D74" i="6"/>
  <c r="G73" i="6"/>
  <c r="H73" i="6" s="1"/>
  <c r="J73" i="6" s="1"/>
  <c r="F73" i="6"/>
  <c r="E73" i="6"/>
  <c r="D73" i="6"/>
  <c r="G72" i="6"/>
  <c r="H72" i="6" s="1"/>
  <c r="J72" i="6" s="1"/>
  <c r="F72" i="6"/>
  <c r="E72" i="6"/>
  <c r="D72" i="6"/>
  <c r="G71" i="6"/>
  <c r="F71" i="6"/>
  <c r="E71" i="6"/>
  <c r="D71" i="6"/>
  <c r="F70" i="6"/>
  <c r="E70" i="6"/>
  <c r="D70" i="6"/>
  <c r="G70" i="6" s="1"/>
  <c r="H70" i="6" s="1"/>
  <c r="J70" i="6" s="1"/>
  <c r="F69" i="6"/>
  <c r="E69" i="6"/>
  <c r="D69" i="6"/>
  <c r="G69" i="6" s="1"/>
  <c r="H69" i="6" s="1"/>
  <c r="J69" i="6" s="1"/>
  <c r="F68" i="6"/>
  <c r="G68" i="6" s="1"/>
  <c r="H68" i="6" s="1"/>
  <c r="J68" i="6" s="1"/>
  <c r="E68" i="6"/>
  <c r="D68" i="6"/>
  <c r="E67" i="6"/>
  <c r="F67" i="6" s="1"/>
  <c r="D67" i="6"/>
  <c r="E66" i="6"/>
  <c r="F66" i="6" s="1"/>
  <c r="D66" i="6"/>
  <c r="G66" i="6" s="1"/>
  <c r="H66" i="6" s="1"/>
  <c r="J66" i="6" s="1"/>
  <c r="E65" i="6"/>
  <c r="F65" i="6" s="1"/>
  <c r="G65" i="6" s="1"/>
  <c r="H65" i="6" s="1"/>
  <c r="J65" i="6" s="1"/>
  <c r="D65" i="6"/>
  <c r="E64" i="6"/>
  <c r="F64" i="6" s="1"/>
  <c r="D64" i="6"/>
  <c r="E63" i="6"/>
  <c r="F63" i="6" s="1"/>
  <c r="D63" i="6"/>
  <c r="E62" i="6"/>
  <c r="F62" i="6" s="1"/>
  <c r="D62" i="6"/>
  <c r="G62" i="6" s="1"/>
  <c r="H62" i="6" s="1"/>
  <c r="J62" i="6" s="1"/>
  <c r="E61" i="6"/>
  <c r="F61" i="6" s="1"/>
  <c r="D61" i="6"/>
  <c r="G61" i="6" s="1"/>
  <c r="H61" i="6" s="1"/>
  <c r="J61" i="6" s="1"/>
  <c r="H60" i="6"/>
  <c r="J60" i="6" s="1"/>
  <c r="G60" i="6"/>
  <c r="F60" i="6"/>
  <c r="E60" i="6"/>
  <c r="D60" i="6"/>
  <c r="E59" i="6"/>
  <c r="F59" i="6" s="1"/>
  <c r="G59" i="6" s="1"/>
  <c r="D59" i="6"/>
  <c r="E58" i="6"/>
  <c r="F58" i="6" s="1"/>
  <c r="D58" i="6"/>
  <c r="G57" i="6"/>
  <c r="H57" i="6" s="1"/>
  <c r="J57" i="6" s="1"/>
  <c r="F57" i="6"/>
  <c r="E57" i="6"/>
  <c r="D57" i="6"/>
  <c r="G56" i="6"/>
  <c r="H56" i="6" s="1"/>
  <c r="J56" i="6" s="1"/>
  <c r="F56" i="6"/>
  <c r="E56" i="6"/>
  <c r="D56" i="6"/>
  <c r="G55" i="6"/>
  <c r="F55" i="6"/>
  <c r="E55" i="6"/>
  <c r="D55" i="6"/>
  <c r="F54" i="6"/>
  <c r="E54" i="6"/>
  <c r="D54" i="6"/>
  <c r="G54" i="6" s="1"/>
  <c r="H54" i="6" s="1"/>
  <c r="J54" i="6" s="1"/>
  <c r="F53" i="6"/>
  <c r="E53" i="6"/>
  <c r="D53" i="6"/>
  <c r="G53" i="6" s="1"/>
  <c r="H53" i="6" s="1"/>
  <c r="J53" i="6" s="1"/>
  <c r="F52" i="6"/>
  <c r="G52" i="6" s="1"/>
  <c r="H52" i="6" s="1"/>
  <c r="J52" i="6" s="1"/>
  <c r="E52" i="6"/>
  <c r="D52" i="6"/>
  <c r="E51" i="6"/>
  <c r="F51" i="6" s="1"/>
  <c r="D51" i="6"/>
  <c r="E50" i="6"/>
  <c r="F50" i="6" s="1"/>
  <c r="D50" i="6"/>
  <c r="E49" i="6"/>
  <c r="F49" i="6" s="1"/>
  <c r="G49" i="6" s="1"/>
  <c r="H49" i="6" s="1"/>
  <c r="J49" i="6" s="1"/>
  <c r="D49" i="6"/>
  <c r="E48" i="6"/>
  <c r="F48" i="6" s="1"/>
  <c r="D48" i="6"/>
  <c r="G48" i="6" s="1"/>
  <c r="H48" i="6" s="1"/>
  <c r="J48" i="6" s="1"/>
  <c r="E47" i="6"/>
  <c r="F47" i="6" s="1"/>
  <c r="D47" i="6"/>
  <c r="E46" i="6"/>
  <c r="F46" i="6" s="1"/>
  <c r="D46" i="6"/>
  <c r="E45" i="6"/>
  <c r="F45" i="6" s="1"/>
  <c r="D45" i="6"/>
  <c r="G45" i="6" s="1"/>
  <c r="H45" i="6" s="1"/>
  <c r="J45" i="6" s="1"/>
  <c r="H44" i="6"/>
  <c r="J44" i="6" s="1"/>
  <c r="G44" i="6"/>
  <c r="F44" i="6"/>
  <c r="E44" i="6"/>
  <c r="D44" i="6"/>
  <c r="E43" i="6"/>
  <c r="F43" i="6" s="1"/>
  <c r="G43" i="6" s="1"/>
  <c r="D43" i="6"/>
  <c r="E42" i="6"/>
  <c r="F42" i="6" s="1"/>
  <c r="D42" i="6"/>
  <c r="G42" i="6" s="1"/>
  <c r="G41" i="6"/>
  <c r="H41" i="6" s="1"/>
  <c r="J41" i="6" s="1"/>
  <c r="F41" i="6"/>
  <c r="E41" i="6"/>
  <c r="D41" i="6"/>
  <c r="G40" i="6"/>
  <c r="H40" i="6" s="1"/>
  <c r="J40" i="6" s="1"/>
  <c r="F40" i="6"/>
  <c r="E40" i="6"/>
  <c r="D40" i="6"/>
  <c r="G39" i="6"/>
  <c r="F39" i="6"/>
  <c r="E39" i="6"/>
  <c r="D39" i="6"/>
  <c r="H39" i="6" s="1"/>
  <c r="J39" i="6" s="1"/>
  <c r="F38" i="6"/>
  <c r="E38" i="6"/>
  <c r="D38" i="6"/>
  <c r="G38" i="6" s="1"/>
  <c r="H38" i="6" s="1"/>
  <c r="J38" i="6" s="1"/>
  <c r="F37" i="6"/>
  <c r="E37" i="6"/>
  <c r="D37" i="6"/>
  <c r="G37" i="6" s="1"/>
  <c r="H37" i="6" s="1"/>
  <c r="J37" i="6" s="1"/>
  <c r="F36" i="6"/>
  <c r="G36" i="6" s="1"/>
  <c r="H36" i="6" s="1"/>
  <c r="J36" i="6" s="1"/>
  <c r="E36" i="6"/>
  <c r="D36" i="6"/>
  <c r="E35" i="6"/>
  <c r="F35" i="6" s="1"/>
  <c r="D35" i="6"/>
  <c r="E34" i="6"/>
  <c r="F34" i="6" s="1"/>
  <c r="D34" i="6"/>
  <c r="G34" i="6" s="1"/>
  <c r="H34" i="6" s="1"/>
  <c r="J34" i="6" s="1"/>
  <c r="E33" i="6"/>
  <c r="F33" i="6" s="1"/>
  <c r="G33" i="6" s="1"/>
  <c r="H33" i="6" s="1"/>
  <c r="J33" i="6" s="1"/>
  <c r="D33" i="6"/>
  <c r="E32" i="6"/>
  <c r="F32" i="6" s="1"/>
  <c r="D32" i="6"/>
  <c r="E31" i="6"/>
  <c r="F31" i="6" s="1"/>
  <c r="D31" i="6"/>
  <c r="E30" i="6"/>
  <c r="F30" i="6" s="1"/>
  <c r="D30" i="6"/>
  <c r="G30" i="6" s="1"/>
  <c r="H30" i="6" s="1"/>
  <c r="J30" i="6" s="1"/>
  <c r="E29" i="6"/>
  <c r="F29" i="6" s="1"/>
  <c r="D29" i="6"/>
  <c r="G29" i="6" s="1"/>
  <c r="H29" i="6" s="1"/>
  <c r="J29" i="6" s="1"/>
  <c r="H28" i="6"/>
  <c r="J28" i="6" s="1"/>
  <c r="G28" i="6"/>
  <c r="F28" i="6"/>
  <c r="E28" i="6"/>
  <c r="D28" i="6"/>
  <c r="E27" i="6"/>
  <c r="F27" i="6" s="1"/>
  <c r="G27" i="6" s="1"/>
  <c r="D27" i="6"/>
  <c r="E26" i="6"/>
  <c r="F26" i="6" s="1"/>
  <c r="D26" i="6"/>
  <c r="G26" i="6" s="1"/>
  <c r="G25" i="6"/>
  <c r="H25" i="6" s="1"/>
  <c r="J25" i="6" s="1"/>
  <c r="F25" i="6"/>
  <c r="E25" i="6"/>
  <c r="D25" i="6"/>
  <c r="G24" i="6"/>
  <c r="H24" i="6" s="1"/>
  <c r="J24" i="6" s="1"/>
  <c r="F24" i="6"/>
  <c r="E24" i="6"/>
  <c r="D24" i="6"/>
  <c r="G23" i="6"/>
  <c r="F23" i="6"/>
  <c r="E23" i="6"/>
  <c r="D23" i="6"/>
  <c r="F22" i="6"/>
  <c r="E22" i="6"/>
  <c r="D22" i="6"/>
  <c r="G22" i="6" s="1"/>
  <c r="H22" i="6" s="1"/>
  <c r="J22" i="6" s="1"/>
  <c r="F21" i="6"/>
  <c r="E21" i="6"/>
  <c r="D21" i="6"/>
  <c r="G21" i="6" s="1"/>
  <c r="H21" i="6" s="1"/>
  <c r="J21" i="6" s="1"/>
  <c r="F20" i="6"/>
  <c r="G20" i="6" s="1"/>
  <c r="H20" i="6" s="1"/>
  <c r="J20" i="6" s="1"/>
  <c r="E20" i="6"/>
  <c r="D20" i="6"/>
  <c r="E19" i="6"/>
  <c r="F19" i="6" s="1"/>
  <c r="D19" i="6"/>
  <c r="E18" i="6"/>
  <c r="F18" i="6" s="1"/>
  <c r="D18" i="6"/>
  <c r="E17" i="6"/>
  <c r="F17" i="6" s="1"/>
  <c r="G17" i="6" s="1"/>
  <c r="H17" i="6" s="1"/>
  <c r="J17" i="6" s="1"/>
  <c r="D17" i="6"/>
  <c r="E16" i="6"/>
  <c r="F16" i="6" s="1"/>
  <c r="D16" i="6"/>
  <c r="G16" i="6" s="1"/>
  <c r="H16" i="6" s="1"/>
  <c r="J16" i="6" s="1"/>
  <c r="E15" i="6"/>
  <c r="F15" i="6" s="1"/>
  <c r="D15" i="6"/>
  <c r="E14" i="6"/>
  <c r="F14" i="6" s="1"/>
  <c r="D14" i="6"/>
  <c r="E13" i="6"/>
  <c r="F13" i="6" s="1"/>
  <c r="D13" i="6"/>
  <c r="G13" i="6" s="1"/>
  <c r="H13" i="6" s="1"/>
  <c r="J13" i="6" s="1"/>
  <c r="H12" i="6"/>
  <c r="J12" i="6" s="1"/>
  <c r="G12" i="6"/>
  <c r="F12" i="6"/>
  <c r="E12" i="6"/>
  <c r="D12" i="6"/>
  <c r="E11" i="6"/>
  <c r="F11" i="6" s="1"/>
  <c r="G11" i="6" s="1"/>
  <c r="D11" i="6"/>
  <c r="E10" i="6"/>
  <c r="F10" i="6" s="1"/>
  <c r="D10" i="6"/>
  <c r="G9" i="6"/>
  <c r="H9" i="6" s="1"/>
  <c r="J9" i="6" s="1"/>
  <c r="F9" i="6"/>
  <c r="E9" i="6"/>
  <c r="D9" i="6"/>
  <c r="G8" i="6"/>
  <c r="H8" i="6" s="1"/>
  <c r="J8" i="6" s="1"/>
  <c r="F8" i="6"/>
  <c r="E8" i="6"/>
  <c r="D8" i="6"/>
  <c r="G7" i="6"/>
  <c r="F7" i="6"/>
  <c r="E7" i="6"/>
  <c r="D7" i="6"/>
  <c r="H7" i="6" s="1"/>
  <c r="J7" i="6" s="1"/>
  <c r="F6" i="6"/>
  <c r="E6" i="6"/>
  <c r="D6" i="6"/>
  <c r="G6" i="6" s="1"/>
  <c r="H6" i="6" s="1"/>
  <c r="J6" i="6" s="1"/>
  <c r="F5" i="6"/>
  <c r="E5" i="6"/>
  <c r="D5" i="6"/>
  <c r="G5" i="6" s="1"/>
  <c r="H5" i="6" s="1"/>
  <c r="J5" i="6" s="1"/>
  <c r="F4" i="6"/>
  <c r="G4" i="6" s="1"/>
  <c r="H4" i="6" s="1"/>
  <c r="E4" i="6"/>
  <c r="D4" i="6"/>
  <c r="H43" i="5"/>
  <c r="J43" i="5" s="1"/>
  <c r="G43" i="5"/>
  <c r="F43" i="5"/>
  <c r="E43" i="5"/>
  <c r="D43" i="5"/>
  <c r="F42" i="5"/>
  <c r="G42" i="5" s="1"/>
  <c r="E42" i="5"/>
  <c r="D42" i="5"/>
  <c r="H41" i="5"/>
  <c r="J41" i="5" s="1"/>
  <c r="G41" i="5"/>
  <c r="F41" i="5"/>
  <c r="E41" i="5"/>
  <c r="D41" i="5"/>
  <c r="J40" i="5"/>
  <c r="F40" i="5"/>
  <c r="G40" i="5" s="1"/>
  <c r="E40" i="5"/>
  <c r="D40" i="5"/>
  <c r="J39" i="5"/>
  <c r="H39" i="5"/>
  <c r="G39" i="5"/>
  <c r="F39" i="5"/>
  <c r="E39" i="5"/>
  <c r="D39" i="5"/>
  <c r="J38" i="5"/>
  <c r="F38" i="5"/>
  <c r="G38" i="5" s="1"/>
  <c r="E38" i="5"/>
  <c r="D38" i="5"/>
  <c r="H37" i="5"/>
  <c r="J37" i="5" s="1"/>
  <c r="G37" i="5"/>
  <c r="F37" i="5"/>
  <c r="E37" i="5"/>
  <c r="D37" i="5"/>
  <c r="F36" i="5"/>
  <c r="E36" i="5"/>
  <c r="D36" i="5"/>
  <c r="G36" i="5" s="1"/>
  <c r="H35" i="5"/>
  <c r="J35" i="5" s="1"/>
  <c r="G35" i="5"/>
  <c r="F35" i="5"/>
  <c r="E35" i="5"/>
  <c r="D35" i="5"/>
  <c r="F34" i="5"/>
  <c r="E34" i="5"/>
  <c r="D34" i="5"/>
  <c r="G34" i="5" s="1"/>
  <c r="H33" i="5"/>
  <c r="J33" i="5" s="1"/>
  <c r="G33" i="5"/>
  <c r="F33" i="5"/>
  <c r="E33" i="5"/>
  <c r="D33" i="5"/>
  <c r="F32" i="5"/>
  <c r="E32" i="5"/>
  <c r="D32" i="5"/>
  <c r="G32" i="5" s="1"/>
  <c r="J31" i="5"/>
  <c r="F31" i="5"/>
  <c r="E31" i="5"/>
  <c r="D31" i="5"/>
  <c r="G31" i="5" s="1"/>
  <c r="F30" i="5"/>
  <c r="E30" i="5"/>
  <c r="D30" i="5"/>
  <c r="G30" i="5" s="1"/>
  <c r="J29" i="5"/>
  <c r="F29" i="5"/>
  <c r="E29" i="5"/>
  <c r="D29" i="5"/>
  <c r="G29" i="5" s="1"/>
  <c r="F28" i="5"/>
  <c r="E28" i="5"/>
  <c r="D28" i="5"/>
  <c r="G28" i="5" s="1"/>
  <c r="E27" i="5"/>
  <c r="F27" i="5" s="1"/>
  <c r="D27" i="5"/>
  <c r="G27" i="5" s="1"/>
  <c r="F26" i="5"/>
  <c r="E26" i="5"/>
  <c r="D26" i="5"/>
  <c r="G26" i="5" s="1"/>
  <c r="E25" i="5"/>
  <c r="F25" i="5" s="1"/>
  <c r="D25" i="5"/>
  <c r="E24" i="5"/>
  <c r="F24" i="5" s="1"/>
  <c r="D24" i="5"/>
  <c r="G24" i="5" s="1"/>
  <c r="E23" i="5"/>
  <c r="F23" i="5" s="1"/>
  <c r="D23" i="5"/>
  <c r="G23" i="5" s="1"/>
  <c r="E22" i="5"/>
  <c r="F22" i="5" s="1"/>
  <c r="D22" i="5"/>
  <c r="G22" i="5" s="1"/>
  <c r="E21" i="5"/>
  <c r="F21" i="5" s="1"/>
  <c r="D21" i="5"/>
  <c r="J20" i="5"/>
  <c r="E20" i="5"/>
  <c r="F20" i="5" s="1"/>
  <c r="D20" i="5"/>
  <c r="G20" i="5" s="1"/>
  <c r="E19" i="5"/>
  <c r="F19" i="5" s="1"/>
  <c r="D19" i="5"/>
  <c r="G19" i="5" s="1"/>
  <c r="J18" i="5"/>
  <c r="E18" i="5"/>
  <c r="F18" i="5" s="1"/>
  <c r="D18" i="5"/>
  <c r="E17" i="5"/>
  <c r="F17" i="5" s="1"/>
  <c r="D17" i="5"/>
  <c r="G17" i="5" s="1"/>
  <c r="E16" i="5"/>
  <c r="F16" i="5" s="1"/>
  <c r="D16" i="5"/>
  <c r="G16" i="5" s="1"/>
  <c r="E15" i="5"/>
  <c r="F15" i="5" s="1"/>
  <c r="D15" i="5"/>
  <c r="G15" i="5" s="1"/>
  <c r="E14" i="5"/>
  <c r="F14" i="5" s="1"/>
  <c r="D14" i="5"/>
  <c r="E13" i="5"/>
  <c r="F13" i="5" s="1"/>
  <c r="D13" i="5"/>
  <c r="G13" i="5" s="1"/>
  <c r="E12" i="5"/>
  <c r="F12" i="5" s="1"/>
  <c r="D12" i="5"/>
  <c r="G12" i="5" s="1"/>
  <c r="E11" i="5"/>
  <c r="F11" i="5" s="1"/>
  <c r="D11" i="5"/>
  <c r="G11" i="5" s="1"/>
  <c r="E10" i="5"/>
  <c r="F10" i="5" s="1"/>
  <c r="D10" i="5"/>
  <c r="E9" i="5"/>
  <c r="F9" i="5" s="1"/>
  <c r="D9" i="5"/>
  <c r="G9" i="5" s="1"/>
  <c r="E8" i="5"/>
  <c r="F8" i="5" s="1"/>
  <c r="D8" i="5"/>
  <c r="G8" i="5" s="1"/>
  <c r="E7" i="5"/>
  <c r="F7" i="5" s="1"/>
  <c r="D7" i="5"/>
  <c r="G7" i="5" s="1"/>
  <c r="E6" i="5"/>
  <c r="F6" i="5" s="1"/>
  <c r="D6" i="5"/>
  <c r="E5" i="5"/>
  <c r="F5" i="5" s="1"/>
  <c r="D5" i="5"/>
  <c r="G5" i="5" s="1"/>
  <c r="E4" i="5"/>
  <c r="F4" i="5" s="1"/>
  <c r="D4" i="5"/>
  <c r="G4" i="5" s="1"/>
  <c r="E39" i="4"/>
  <c r="D39" i="4"/>
  <c r="E38" i="4"/>
  <c r="D38" i="4"/>
  <c r="E37" i="4"/>
  <c r="E36" i="4"/>
  <c r="D36" i="4"/>
  <c r="E35" i="4"/>
  <c r="D35" i="4"/>
  <c r="E34" i="4"/>
  <c r="E33" i="4"/>
  <c r="D33" i="4"/>
  <c r="E32" i="4"/>
  <c r="D32" i="4"/>
  <c r="E31" i="4"/>
  <c r="E30" i="4"/>
  <c r="D30" i="4"/>
  <c r="E29" i="4"/>
  <c r="D29" i="4"/>
  <c r="E28" i="4"/>
  <c r="E27" i="4"/>
  <c r="D27" i="4"/>
  <c r="E26" i="4"/>
  <c r="D26" i="4"/>
  <c r="E25" i="4"/>
  <c r="E24" i="4"/>
  <c r="D24" i="4"/>
  <c r="E23" i="4"/>
  <c r="D23" i="4"/>
  <c r="E22" i="4"/>
  <c r="E21" i="4"/>
  <c r="D21" i="4"/>
  <c r="E20" i="4"/>
  <c r="D20" i="4"/>
  <c r="E19" i="4"/>
  <c r="E18" i="4"/>
  <c r="D18" i="4"/>
  <c r="E17" i="4"/>
  <c r="D17" i="4"/>
  <c r="E16" i="4"/>
  <c r="E15" i="4"/>
  <c r="D15" i="4"/>
  <c r="E14" i="4"/>
  <c r="D14" i="4"/>
  <c r="E13" i="4"/>
  <c r="E12" i="4"/>
  <c r="D12" i="4"/>
  <c r="E11" i="4"/>
  <c r="D11" i="4"/>
  <c r="E10" i="4"/>
  <c r="E9" i="4"/>
  <c r="D9" i="4"/>
  <c r="E8" i="4"/>
  <c r="D8" i="4"/>
  <c r="E7" i="4"/>
  <c r="E6" i="4"/>
  <c r="D6" i="4"/>
  <c r="E5" i="4"/>
  <c r="D5" i="4"/>
  <c r="E4" i="4"/>
  <c r="L16" i="3"/>
  <c r="K16" i="3"/>
  <c r="J16" i="3"/>
  <c r="F15" i="3"/>
  <c r="F16" i="3" s="1"/>
  <c r="E15" i="3"/>
  <c r="E16" i="3" s="1"/>
  <c r="D15" i="3"/>
  <c r="D16" i="3" s="1"/>
  <c r="I14" i="3"/>
  <c r="H14" i="3"/>
  <c r="G14" i="3"/>
  <c r="M14" i="3" s="1"/>
  <c r="I13" i="3"/>
  <c r="H13" i="3"/>
  <c r="M13" i="3" s="1"/>
  <c r="G13" i="3"/>
  <c r="I11" i="3"/>
  <c r="I10" i="3"/>
  <c r="H10" i="3"/>
  <c r="G10" i="3"/>
  <c r="M10" i="3" s="1"/>
  <c r="I9" i="3"/>
  <c r="H9" i="3"/>
  <c r="M9" i="3" s="1"/>
  <c r="G9" i="3"/>
  <c r="I7" i="3"/>
  <c r="I6" i="3"/>
  <c r="H6" i="3"/>
  <c r="G6" i="3"/>
  <c r="M6" i="3" s="1"/>
  <c r="I5" i="3"/>
  <c r="H5" i="3"/>
  <c r="M5" i="3" s="1"/>
  <c r="G5" i="3"/>
  <c r="B31" i="2"/>
  <c r="D30" i="2"/>
  <c r="C30" i="2"/>
  <c r="D29" i="2"/>
  <c r="C29" i="2"/>
  <c r="D28" i="2"/>
  <c r="C28" i="2"/>
  <c r="D27" i="2"/>
  <c r="C27" i="2"/>
  <c r="F22" i="2"/>
  <c r="F21" i="2"/>
  <c r="F20" i="2"/>
  <c r="F19" i="2"/>
  <c r="F18" i="2"/>
  <c r="F17" i="2"/>
  <c r="B6" i="2"/>
  <c r="G12" i="3" s="1"/>
  <c r="H29" i="5" l="1"/>
  <c r="O29" i="5" s="1"/>
  <c r="I29" i="5"/>
  <c r="I8" i="5"/>
  <c r="H8" i="5"/>
  <c r="J8" i="5" s="1"/>
  <c r="I23" i="5"/>
  <c r="H23" i="5"/>
  <c r="J23" i="5" s="1"/>
  <c r="H9" i="5"/>
  <c r="J9" i="5" s="1"/>
  <c r="I9" i="5"/>
  <c r="H17" i="5"/>
  <c r="J17" i="5" s="1"/>
  <c r="I17" i="5"/>
  <c r="I24" i="5"/>
  <c r="H24" i="5"/>
  <c r="J24" i="5" s="1"/>
  <c r="I30" i="5"/>
  <c r="H30" i="5"/>
  <c r="J30" i="5" s="1"/>
  <c r="I38" i="5"/>
  <c r="H38" i="5"/>
  <c r="O38" i="5" s="1"/>
  <c r="G129" i="6"/>
  <c r="H129" i="6" s="1"/>
  <c r="J129" i="6" s="1"/>
  <c r="H63" i="6"/>
  <c r="J63" i="6" s="1"/>
  <c r="G10" i="5"/>
  <c r="G18" i="5"/>
  <c r="G25" i="5"/>
  <c r="G18" i="6"/>
  <c r="H18" i="6" s="1"/>
  <c r="J18" i="6" s="1"/>
  <c r="G46" i="6"/>
  <c r="H46" i="6" s="1"/>
  <c r="J46" i="6" s="1"/>
  <c r="G64" i="6"/>
  <c r="H64" i="6" s="1"/>
  <c r="J64" i="6" s="1"/>
  <c r="G82" i="6"/>
  <c r="H82" i="6" s="1"/>
  <c r="J82" i="6" s="1"/>
  <c r="G110" i="6"/>
  <c r="H110" i="6" s="1"/>
  <c r="J110" i="6" s="1"/>
  <c r="G141" i="6"/>
  <c r="H141" i="6" s="1"/>
  <c r="J141" i="6" s="1"/>
  <c r="G58" i="6"/>
  <c r="H71" i="6"/>
  <c r="J71" i="6" s="1"/>
  <c r="G122" i="6"/>
  <c r="H122" i="6" s="1"/>
  <c r="J122" i="6" s="1"/>
  <c r="H83" i="6"/>
  <c r="J83" i="6" s="1"/>
  <c r="G93" i="6"/>
  <c r="H93" i="6" s="1"/>
  <c r="J93" i="6" s="1"/>
  <c r="H111" i="6"/>
  <c r="J111" i="6" s="1"/>
  <c r="G142" i="6"/>
  <c r="H142" i="6" s="1"/>
  <c r="J142" i="6" s="1"/>
  <c r="H15" i="6"/>
  <c r="J15" i="6" s="1"/>
  <c r="H47" i="6"/>
  <c r="J47" i="6" s="1"/>
  <c r="H143" i="6"/>
  <c r="J143" i="6" s="1"/>
  <c r="O31" i="5"/>
  <c r="I31" i="5"/>
  <c r="H31" i="5"/>
  <c r="I26" i="5"/>
  <c r="H26" i="5"/>
  <c r="J26" i="5" s="1"/>
  <c r="I42" i="5"/>
  <c r="H42" i="5"/>
  <c r="J42" i="5" s="1"/>
  <c r="O42" i="5"/>
  <c r="H55" i="6"/>
  <c r="J55" i="6" s="1"/>
  <c r="H119" i="6"/>
  <c r="J119" i="6" s="1"/>
  <c r="I40" i="5"/>
  <c r="H40" i="5"/>
  <c r="O40" i="5" s="1"/>
  <c r="J4" i="6"/>
  <c r="O11" i="5"/>
  <c r="I11" i="5"/>
  <c r="H11" i="5"/>
  <c r="J11" i="5" s="1"/>
  <c r="H95" i="6"/>
  <c r="J95" i="6" s="1"/>
  <c r="G144" i="6"/>
  <c r="H144" i="6" s="1"/>
  <c r="J144" i="6" s="1"/>
  <c r="H19" i="6"/>
  <c r="J19" i="6" s="1"/>
  <c r="I4" i="5"/>
  <c r="H4" i="5"/>
  <c r="J4" i="5" s="1"/>
  <c r="O4" i="5"/>
  <c r="O39" i="5"/>
  <c r="I20" i="5"/>
  <c r="H20" i="5"/>
  <c r="O20" i="5"/>
  <c r="I27" i="5"/>
  <c r="H27" i="5"/>
  <c r="J27" i="5" s="1"/>
  <c r="I32" i="5"/>
  <c r="H32" i="5"/>
  <c r="J32" i="5" s="1"/>
  <c r="I36" i="5"/>
  <c r="H36" i="5"/>
  <c r="J36" i="5" s="1"/>
  <c r="O36" i="5"/>
  <c r="H42" i="6"/>
  <c r="J42" i="6" s="1"/>
  <c r="H43" i="6"/>
  <c r="J43" i="6" s="1"/>
  <c r="H5" i="5"/>
  <c r="J5" i="5" s="1"/>
  <c r="I5" i="5"/>
  <c r="H13" i="5"/>
  <c r="J13" i="5" s="1"/>
  <c r="I13" i="5"/>
  <c r="H67" i="6"/>
  <c r="J67" i="6" s="1"/>
  <c r="I28" i="5"/>
  <c r="H28" i="5"/>
  <c r="J28" i="5" s="1"/>
  <c r="G107" i="6"/>
  <c r="G125" i="6"/>
  <c r="H125" i="6" s="1"/>
  <c r="J125" i="6" s="1"/>
  <c r="I22" i="5"/>
  <c r="H22" i="5"/>
  <c r="J22" i="5" s="1"/>
  <c r="O22" i="5"/>
  <c r="I19" i="5"/>
  <c r="O19" i="5" s="1"/>
  <c r="H19" i="5"/>
  <c r="J19" i="5" s="1"/>
  <c r="I12" i="5"/>
  <c r="O12" i="5" s="1"/>
  <c r="H12" i="5"/>
  <c r="J12" i="5" s="1"/>
  <c r="H31" i="6"/>
  <c r="J31" i="6" s="1"/>
  <c r="G6" i="5"/>
  <c r="G14" i="5"/>
  <c r="G21" i="5"/>
  <c r="G14" i="6"/>
  <c r="H14" i="6" s="1"/>
  <c r="J14" i="6" s="1"/>
  <c r="G32" i="6"/>
  <c r="H32" i="6" s="1"/>
  <c r="J32" i="6" s="1"/>
  <c r="G50" i="6"/>
  <c r="H50" i="6" s="1"/>
  <c r="J50" i="6" s="1"/>
  <c r="G78" i="6"/>
  <c r="H78" i="6" s="1"/>
  <c r="J78" i="6" s="1"/>
  <c r="G96" i="6"/>
  <c r="H96" i="6" s="1"/>
  <c r="J96" i="6" s="1"/>
  <c r="G114" i="6"/>
  <c r="H114" i="6" s="1"/>
  <c r="J114" i="6" s="1"/>
  <c r="G145" i="6"/>
  <c r="H145" i="6" s="1"/>
  <c r="J145" i="6" s="1"/>
  <c r="H103" i="6"/>
  <c r="J103" i="6" s="1"/>
  <c r="H79" i="6"/>
  <c r="J79" i="6" s="1"/>
  <c r="G97" i="6"/>
  <c r="H97" i="6" s="1"/>
  <c r="J97" i="6" s="1"/>
  <c r="H115" i="6"/>
  <c r="J115" i="6" s="1"/>
  <c r="G138" i="6"/>
  <c r="H138" i="6" s="1"/>
  <c r="J138" i="6" s="1"/>
  <c r="G146" i="6"/>
  <c r="H146" i="6" s="1"/>
  <c r="J146" i="6" s="1"/>
  <c r="O15" i="5"/>
  <c r="I15" i="5"/>
  <c r="H15" i="5"/>
  <c r="J15" i="5" s="1"/>
  <c r="O37" i="5"/>
  <c r="H147" i="6"/>
  <c r="J147" i="6" s="1"/>
  <c r="H26" i="6"/>
  <c r="J26" i="6" s="1"/>
  <c r="H27" i="6"/>
  <c r="J27" i="6" s="1"/>
  <c r="I7" i="5"/>
  <c r="H7" i="5"/>
  <c r="J7" i="5" s="1"/>
  <c r="I16" i="5"/>
  <c r="O16" i="5" s="1"/>
  <c r="H16" i="5"/>
  <c r="J16" i="5" s="1"/>
  <c r="I34" i="5"/>
  <c r="H34" i="5"/>
  <c r="J34" i="5" s="1"/>
  <c r="O34" i="5"/>
  <c r="G10" i="6"/>
  <c r="H23" i="6"/>
  <c r="J23" i="6" s="1"/>
  <c r="G74" i="6"/>
  <c r="H87" i="6"/>
  <c r="J87" i="6" s="1"/>
  <c r="G128" i="6"/>
  <c r="H128" i="6" s="1"/>
  <c r="J128" i="6" s="1"/>
  <c r="G15" i="6"/>
  <c r="G31" i="6"/>
  <c r="G47" i="6"/>
  <c r="G63" i="6"/>
  <c r="G79" i="6"/>
  <c r="G95" i="6"/>
  <c r="G111" i="6"/>
  <c r="G127" i="6"/>
  <c r="G143" i="6"/>
  <c r="I33" i="5"/>
  <c r="O33" i="5" s="1"/>
  <c r="I35" i="5"/>
  <c r="O35" i="5" s="1"/>
  <c r="I37" i="5"/>
  <c r="I39" i="5"/>
  <c r="I41" i="5"/>
  <c r="O41" i="5" s="1"/>
  <c r="I43" i="5"/>
  <c r="O43" i="5" s="1"/>
  <c r="G11" i="3"/>
  <c r="M11" i="3" s="1"/>
  <c r="G19" i="6"/>
  <c r="G35" i="6"/>
  <c r="G51" i="6"/>
  <c r="G67" i="6"/>
  <c r="G83" i="6"/>
  <c r="G99" i="6"/>
  <c r="G115" i="6"/>
  <c r="G131" i="6"/>
  <c r="G147" i="6"/>
  <c r="G7" i="3"/>
  <c r="H7" i="3"/>
  <c r="H11" i="3"/>
  <c r="H4" i="3"/>
  <c r="H8" i="3"/>
  <c r="H12" i="3"/>
  <c r="M12" i="3" s="1"/>
  <c r="G4" i="3"/>
  <c r="G8" i="3"/>
  <c r="I4" i="3"/>
  <c r="I8" i="3"/>
  <c r="I12" i="3"/>
  <c r="H91" i="6"/>
  <c r="J91" i="6" s="1"/>
  <c r="H107" i="6"/>
  <c r="J107" i="6" s="1"/>
  <c r="H123" i="6"/>
  <c r="J123" i="6" s="1"/>
  <c r="H139" i="6"/>
  <c r="J139" i="6" s="1"/>
  <c r="H15" i="3"/>
  <c r="I15" i="3"/>
  <c r="I16" i="3" s="1"/>
  <c r="G15" i="3"/>
  <c r="I10" i="5" l="1"/>
  <c r="O10" i="5" s="1"/>
  <c r="H10" i="5"/>
  <c r="J10" i="5" s="1"/>
  <c r="O17" i="5"/>
  <c r="M7" i="3"/>
  <c r="O5" i="5"/>
  <c r="O9" i="5"/>
  <c r="O7" i="5"/>
  <c r="O26" i="5"/>
  <c r="H99" i="6"/>
  <c r="J99" i="6" s="1"/>
  <c r="H58" i="6"/>
  <c r="J58" i="6" s="1"/>
  <c r="H59" i="6"/>
  <c r="J59" i="6" s="1"/>
  <c r="H35" i="6"/>
  <c r="J35" i="6" s="1"/>
  <c r="M8" i="3"/>
  <c r="M4" i="3"/>
  <c r="C4" i="7"/>
  <c r="D4" i="7" s="1"/>
  <c r="H75" i="6"/>
  <c r="J75" i="6" s="1"/>
  <c r="H74" i="6"/>
  <c r="J74" i="6" s="1"/>
  <c r="H127" i="6"/>
  <c r="J127" i="6" s="1"/>
  <c r="O28" i="5"/>
  <c r="O32" i="5"/>
  <c r="O23" i="5"/>
  <c r="H21" i="5"/>
  <c r="J21" i="5" s="1"/>
  <c r="I21" i="5"/>
  <c r="O30" i="5"/>
  <c r="O8" i="5"/>
  <c r="H10" i="6"/>
  <c r="H11" i="6"/>
  <c r="J11" i="6" s="1"/>
  <c r="I14" i="5"/>
  <c r="O14" i="5" s="1"/>
  <c r="H14" i="5"/>
  <c r="J14" i="5" s="1"/>
  <c r="H51" i="6"/>
  <c r="J51" i="6" s="1"/>
  <c r="I6" i="5"/>
  <c r="H6" i="5"/>
  <c r="J6" i="5" s="1"/>
  <c r="H16" i="3"/>
  <c r="O27" i="5"/>
  <c r="H25" i="5"/>
  <c r="J25" i="5" s="1"/>
  <c r="I25" i="5"/>
  <c r="O24" i="5"/>
  <c r="O13" i="5"/>
  <c r="H131" i="6"/>
  <c r="J131" i="6" s="1"/>
  <c r="I18" i="5"/>
  <c r="H18" i="5"/>
  <c r="O18" i="5" s="1"/>
  <c r="G16" i="3"/>
  <c r="M15" i="3"/>
  <c r="J10" i="6" l="1"/>
  <c r="C6" i="7" s="1"/>
  <c r="D6" i="7" s="1"/>
  <c r="D10" i="7"/>
  <c r="O25" i="5"/>
  <c r="O21" i="5"/>
  <c r="O6" i="5"/>
  <c r="C5" i="7" s="1"/>
  <c r="D5" i="7" s="1"/>
  <c r="D8" i="7" s="1"/>
</calcChain>
</file>

<file path=xl/sharedStrings.xml><?xml version="1.0" encoding="utf-8"?>
<sst xmlns="http://schemas.openxmlformats.org/spreadsheetml/2006/main" count="613" uniqueCount="167">
  <si>
    <t>Modelling assumptions</t>
  </si>
  <si>
    <t>Blue = input you can change. Every derived value in the other sheets points back to these cells.</t>
  </si>
  <si>
    <t>Parameter</t>
  </si>
  <si>
    <t>Value</t>
  </si>
  <si>
    <t>Source / note</t>
  </si>
  <si>
    <t>Cost scale factor (RLUL FTE / UAlberta FTE)</t>
  </si>
  <si>
    <t>Modelled RLUL 14,000 FTE / UAlberta 40,000 FTE (thesis section 6.6)</t>
  </si>
  <si>
    <t>CAD to EUR exchange rate</t>
  </si>
  <si>
    <t>Average 2023-2024 rate (thesis section 6.6)</t>
  </si>
  <si>
    <t>Combined cost factor</t>
  </si>
  <si>
    <t>Formula: scale factor x exchange rate = 0.238</t>
  </si>
  <si>
    <t>Searches per item request</t>
  </si>
  <si>
    <t>Modelled: searches_regular = 2 x total_item_requests</t>
  </si>
  <si>
    <t>Unique / total item requests (Controlled)</t>
  </si>
  <si>
    <t>Modelled ratio</t>
  </si>
  <si>
    <t>Unique / total item requests (OA_Gold)</t>
  </si>
  <si>
    <t>Modelled ratio (open content assumed slightly less repeat use)</t>
  </si>
  <si>
    <t>Access denials (no_license) as share of searches, Controlled</t>
  </si>
  <si>
    <t>Modelled; OA_Gold rows have no denials</t>
  </si>
  <si>
    <t>OA_Gold share of usage on TA platforms, from TA start year</t>
  </si>
  <si>
    <t>Modelled; applied to Wiley and Cochrane from 2023</t>
  </si>
  <si>
    <t>Rounding rule</t>
  </si>
  <si>
    <t>Round half to even</t>
  </si>
  <si>
    <t>Ties (x.5) go to the nearest even integer, e.g. 796.5 -&gt; 796. This reproduces every stored value.</t>
  </si>
  <si>
    <t>Faculty attribution shares (faculty_usage)</t>
  </si>
  <si>
    <t>Profile</t>
  </si>
  <si>
    <t>SCI</t>
  </si>
  <si>
    <t>BUS</t>
  </si>
  <si>
    <t>EHS</t>
  </si>
  <si>
    <t>AHSS</t>
  </si>
  <si>
    <t>Total</t>
  </si>
  <si>
    <t>Note</t>
  </si>
  <si>
    <t>BASELINE</t>
  </si>
  <si>
    <t>Used for the 7 non-focal platforms; rounded FTE shares (see FTE check below)</t>
  </si>
  <si>
    <t>SCOPUS</t>
  </si>
  <si>
    <t>Focal: science-heavy</t>
  </si>
  <si>
    <t>WOS</t>
  </si>
  <si>
    <t>EMERALD</t>
  </si>
  <si>
    <t>Focal: business</t>
  </si>
  <si>
    <t>COCHRANE</t>
  </si>
  <si>
    <t>Focal: health</t>
  </si>
  <si>
    <t>PROJECT_MUSE</t>
  </si>
  <si>
    <t>Focal: humanities; triggers the Discipline Safeguard</t>
  </si>
  <si>
    <t>Attribution rule: SCI, BUS and EHS = platform total x share (rounded); AHSS = remainder, so the four faculties always add up to the platform total.</t>
  </si>
  <si>
    <t>FTE check (faculty table)</t>
  </si>
  <si>
    <t>Faculty</t>
  </si>
  <si>
    <t>FTE students</t>
  </si>
  <si>
    <t>FTE share</t>
  </si>
  <si>
    <t>Baseline share used</t>
  </si>
  <si>
    <t>Transformative agreements (ta_transition)</t>
  </si>
  <si>
    <t>database_id</t>
  </si>
  <si>
    <t>TA start year</t>
  </si>
  <si>
    <t>WILEY</t>
  </si>
  <si>
    <t>Annual cost: real source data</t>
  </si>
  <si>
    <t>Source: University of Alberta Library Subscription Expenditures Dataset 2022-2024, https://doi.org/10.7939/DVN/10844 (CC BY 4.0). Files: UAL_Serials_Expenditures_2022.xlsx, UAL_Subscription_Expenditures_2023.xlsx, UAL_Subscription_Expenditures_2024.xlsx</t>
  </si>
  <si>
    <t>database_name</t>
  </si>
  <si>
    <t>UAlberta source title</t>
  </si>
  <si>
    <t>CAD paid 2022</t>
  </si>
  <si>
    <t>CAD paid 2023</t>
  </si>
  <si>
    <t>CAD paid 2024</t>
  </si>
  <si>
    <t>EUR 2022 (modelled)</t>
  </si>
  <si>
    <t>EUR 2023 (modelled)</t>
  </si>
  <si>
    <t>EUR 2024 (modelled)</t>
  </si>
  <si>
    <t>In database 2022</t>
  </si>
  <si>
    <t>In database 2023</t>
  </si>
  <si>
    <t>In database 2024</t>
  </si>
  <si>
    <t>Match</t>
  </si>
  <si>
    <t>Scopus</t>
  </si>
  <si>
    <t>Web of Science</t>
  </si>
  <si>
    <t>Web of Science (2023 "API Expanded" add-on excluded)</t>
  </si>
  <si>
    <t>ACM</t>
  </si>
  <si>
    <t>ACM Digital Library</t>
  </si>
  <si>
    <t>SPRINGER</t>
  </si>
  <si>
    <t>SpringerLINK</t>
  </si>
  <si>
    <t>Wiley Blackwell Online Journals</t>
  </si>
  <si>
    <t>NATURE</t>
  </si>
  <si>
    <t>Nature Journals Customized</t>
  </si>
  <si>
    <t>Nature Journals. Customized. Payments.</t>
  </si>
  <si>
    <t>Emerald Premier EJournals</t>
  </si>
  <si>
    <t>Cochrane Library</t>
  </si>
  <si>
    <t>JSTOR</t>
  </si>
  <si>
    <t>JSTOR Archival Journals</t>
  </si>
  <si>
    <t>JSTOR Collections Archive (2022-23) / JSTOR Archival Journals and Primary Sources Collection (2024)</t>
  </si>
  <si>
    <t>Project Muse Premium</t>
  </si>
  <si>
    <t>DOAJ</t>
  </si>
  <si>
    <t>Directory of Open Access Journals</t>
  </si>
  <si>
    <t>DOAJ membership not used (CAD 16,875.50 in 2022, blank 2023-24): modelled as a no-cost OA resource</t>
  </si>
  <si>
    <t>OXFORD_HB</t>
  </si>
  <si>
    <t>Oxford Handbooks Online</t>
  </si>
  <si>
    <t>Oxford Handbooks Online: sum of 5 subject collections (see table below)</t>
  </si>
  <si>
    <t>Total (12 platforms)</t>
  </si>
  <si>
    <t>Thesis section 8.3 quotes CAD 3,165,647 (2024) and about EUR 753,400 for the 12 platforms.</t>
  </si>
  <si>
    <t>Oxford Handbooks Online components</t>
  </si>
  <si>
    <t>Subject collection</t>
  </si>
  <si>
    <t>History</t>
  </si>
  <si>
    <t>Oxford Handbooks Online: History</t>
  </si>
  <si>
    <t>Philosophy</t>
  </si>
  <si>
    <t>Oxford Handbooks Online: Philosophy</t>
  </si>
  <si>
    <t>Political Science</t>
  </si>
  <si>
    <t>Oxford Handbooks Online: Political Science</t>
  </si>
  <si>
    <t>Psychology</t>
  </si>
  <si>
    <t>Oxford Handbooks Online: Psychology</t>
  </si>
  <si>
    <t>Sociology</t>
  </si>
  <si>
    <t>Oxford Handbooks Online: Sociology</t>
  </si>
  <si>
    <t>Base usage volumes (modelling inputs)</t>
  </si>
  <si>
    <t>Illustrative total item requests per platform and year. Modest growth for most platforms; Oxford Handbooks declines in line with its falling cost; Nature is held flat as a control.</t>
  </si>
  <si>
    <t>report_year</t>
  </si>
  <si>
    <t>Base total_item_requests</t>
  </si>
  <si>
    <t>Change vs previous year</t>
  </si>
  <si>
    <t>TA active?</t>
  </si>
  <si>
    <t>-</t>
  </si>
  <si>
    <t>counter_usage: rebuilt from rules</t>
  </si>
  <si>
    <t>Grey columns = values stored in RLUL_demo.db, shown only to check the rules reproduce them.</t>
  </si>
  <si>
    <t>access_type</t>
  </si>
  <si>
    <t>Base total (Usage_Base)</t>
  </si>
  <si>
    <t>Share of base</t>
  </si>
  <si>
    <t>total_item_requests</t>
  </si>
  <si>
    <t>searches_regular</t>
  </si>
  <si>
    <t>unique_item_requests</t>
  </si>
  <si>
    <t>no_license</t>
  </si>
  <si>
    <t>DB total_item_requests</t>
  </si>
  <si>
    <t>DB searches_regular</t>
  </si>
  <si>
    <t>DB unique_item_requests</t>
  </si>
  <si>
    <t>DB no_license</t>
  </si>
  <si>
    <t>Controlled</t>
  </si>
  <si>
    <t>OA_Gold</t>
  </si>
  <si>
    <t>faculty_usage: rebuilt from rules</t>
  </si>
  <si>
    <t>SCI, BUS and EHS = platform total x share (rounded half to even); AHSS = remainder. Grey = value stored in RLUL_demo.db.</t>
  </si>
  <si>
    <t>faculty_id</t>
  </si>
  <si>
    <t>Platform total</t>
  </si>
  <si>
    <t>Share profile</t>
  </si>
  <si>
    <t>Share</t>
  </si>
  <si>
    <t>Rounded share of total</t>
  </si>
  <si>
    <t>attributed_requests</t>
  </si>
  <si>
    <t>DB attributed_requests</t>
  </si>
  <si>
    <t>Reproduction checks</t>
  </si>
  <si>
    <t>Does every rule-based value equal the value stored in RLUL_demo.db?</t>
  </si>
  <si>
    <t>Table</t>
  </si>
  <si>
    <t>Rows in database</t>
  </si>
  <si>
    <t>Rows reproduced exactly</t>
  </si>
  <si>
    <t>All match?</t>
  </si>
  <si>
    <t>annual_cost (36 values, 12 rows x 3 years)</t>
  </si>
  <si>
    <t>counter_usage</t>
  </si>
  <si>
    <t>faculty_usage</t>
  </si>
  <si>
    <t>Everything reproduced</t>
  </si>
  <si>
    <t>Faculty totals add up to platform totals</t>
  </si>
  <si>
    <t>RLUL demonstration dataset: data provenance</t>
  </si>
  <si>
    <t>What this workbook is</t>
  </si>
  <si>
    <t>It documents where every value in RLUL_demo.db comes from. Costs are real published data; usage values are modelled from fixed rules.</t>
  </si>
  <si>
    <t>The database supports my MLIS capstone (UCD, IS41160, submitted August 2026) on a subscription evaluation framework for a fictional Irish academic library, River Liffey University Library (RLUL).</t>
  </si>
  <si>
    <t>Reconstruction note</t>
  </si>
  <si>
    <t>The working file used to generate the modelled usage in summer 2026 was not kept. This workbook was rebuilt in October 2026 by re-deriving the generation rules from the database.</t>
  </si>
  <si>
    <t>The Checks sheet confirms that the rules reproduce all 36 cost values, all 40 counter_usage rows and all 144 faculty_usage rows exactly.</t>
  </si>
  <si>
    <t>Real vs modelled</t>
  </si>
  <si>
    <t>REAL: annual subscription costs, from the University of Alberta Library Subscription Expenditures Dataset 2022-2024 (https://doi.org/10.7939/DVN/10844, CC BY 4.0), scaled to a 14,000-FTE library and converted to EUR.</t>
  </si>
  <si>
    <t>MODELLED: usage volumes, COUNTER field ratios, open access split on TA platforms and faculty attribution. No Irish academic library publishes database-level usage reports, so these values are illustrative and follow the COUNTER Release 5.1 structure.</t>
  </si>
  <si>
    <t>Sheets</t>
  </si>
  <si>
    <t>Assumptions - every modelling parameter in one place (blue cells can be changed)</t>
  </si>
  <si>
    <t>Cost_Source - UAlberta CAD amounts per platform and year, converted to modelled EUR</t>
  </si>
  <si>
    <t>Usage_Base - base total item requests per platform and year (modelling input)</t>
  </si>
  <si>
    <t>counter_usage - COUNTER rows rebuilt from Usage_Base and the ratios</t>
  </si>
  <si>
    <t>faculty_usage - usage attributed to the four faculties</t>
  </si>
  <si>
    <t>Checks - rule output vs values stored in the database</t>
  </si>
  <si>
    <t>Colour legend</t>
  </si>
  <si>
    <t>Blue text = input or source value  |  Black text = formula  |  Grey italic = value stored in RLUL_demo.db, for checking only</t>
  </si>
  <si>
    <t>Limitations</t>
  </si>
  <si>
    <t>Usage figures, faculty shares and the 25% open access share are assumptions chosen to demonstrate the framework (for example, Project MUSE is concentrated in Arts and Humanities so the Discipline Safeguard has a case to catch). They are not empirical findings.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</si>
</sst>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%"/>
  </numFmts>
  <fonts count="11" x14ac:knownFonts="1">
    <font>
      <sz val="11"/>
      <color theme="1"/>
      <name val="Arial"/>
      <family val="2"/>
      <charset val="134"/>
    </font>
    <font>
      <sz val="10"/>
      <color theme="1"/>
      <name val="Arial"/>
      <family val="2"/>
      <charset val="134"/>
    </font>
    <font>
      <b/>
      <sz val="13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  <charset val="134"/>
    </font>
    <font>
      <sz val="9"/>
      <name val="Arial"/>
      <family val="2"/>
      <charset val="134"/>
    </font>
    <font>
      <i/>
      <sz val="10"/>
      <color rgb="FF808080"/>
      <name val="Arial"/>
      <family val="2"/>
    </font>
    <font>
      <b/>
      <sz val="14"/>
      <color theme="1"/>
      <name val="Arial"/>
      <family val="2"/>
    </font>
    <font>
      <b/>
      <sz val="10"/>
      <color rgb="FF8B735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B735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2" borderId="0" xfId="0" applyFont="1" applyFill="1" applyAlignment="1">
      <alignment vertical="center" wrapText="1"/>
    </xf>
    <xf numFmtId="0" fontId="6" fillId="0" borderId="0" xfId="0" applyFont="1">
      <alignment vertical="center"/>
    </xf>
    <xf numFmtId="2" fontId="6" fillId="0" borderId="0" xfId="0" applyNumberFormat="1" applyFont="1">
      <alignment vertical="center"/>
    </xf>
    <xf numFmtId="9" fontId="6" fillId="0" borderId="0" xfId="0" applyNumberFormat="1" applyFont="1">
      <alignment vertical="center"/>
    </xf>
    <xf numFmtId="176" fontId="6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9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3" fontId="6" fillId="0" borderId="0" xfId="0" applyNumberFormat="1" applyFont="1">
      <alignment vertical="center"/>
    </xf>
    <xf numFmtId="3" fontId="1" fillId="0" borderId="0" xfId="0" applyNumberFormat="1" applyFont="1">
      <alignment vertical="center"/>
    </xf>
    <xf numFmtId="4" fontId="6" fillId="0" borderId="0" xfId="0" applyNumberFormat="1" applyFont="1">
      <alignment vertical="center"/>
    </xf>
    <xf numFmtId="4" fontId="1" fillId="0" borderId="0" xfId="0" applyNumberFormat="1" applyFont="1">
      <alignment vertical="center"/>
    </xf>
    <xf numFmtId="4" fontId="4" fillId="0" borderId="0" xfId="0" applyNumberFormat="1" applyFont="1">
      <alignment vertical="center"/>
    </xf>
    <xf numFmtId="3" fontId="4" fillId="0" borderId="0" xfId="0" applyNumberFormat="1" applyFont="1">
      <alignment vertical="center"/>
    </xf>
    <xf numFmtId="3" fontId="8" fillId="0" borderId="0" xfId="0" applyNumberFormat="1" applyFont="1">
      <alignment vertical="center"/>
    </xf>
    <xf numFmtId="0" fontId="1" fillId="0" borderId="0" xfId="0" applyFont="1" applyAlignment="1">
      <alignment vertical="center" wrapText="1"/>
    </xf>
    <xf numFmtId="177" fontId="1" fillId="0" borderId="0" xfId="0" applyNumberFormat="1" applyFont="1" applyAlignment="1">
      <alignment horizontal="right"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5" fillId="2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E9B93-49B1-4924-9EA7-81FE973A2FA1}">
  <dimension ref="A1:A27"/>
  <sheetViews>
    <sheetView workbookViewId="0"/>
  </sheetViews>
  <sheetFormatPr defaultRowHeight="12.75" x14ac:dyDescent="0.35"/>
  <cols>
    <col min="1" max="1" width="130.5625" style="1" customWidth="1"/>
    <col min="2" max="16384" width="9" style="1"/>
  </cols>
  <sheetData>
    <row r="1" spans="1:1" ht="17.649999999999999" x14ac:dyDescent="0.35">
      <c r="A1" s="22" t="s">
        <v>146</v>
      </c>
    </row>
    <row r="2" spans="1:1" x14ac:dyDescent="0.35">
      <c r="A2" s="20"/>
    </row>
    <row r="3" spans="1:1" ht="13.15" x14ac:dyDescent="0.35">
      <c r="A3" s="23" t="s">
        <v>147</v>
      </c>
    </row>
    <row r="4" spans="1:1" x14ac:dyDescent="0.35">
      <c r="A4" s="20" t="s">
        <v>148</v>
      </c>
    </row>
    <row r="5" spans="1:1" ht="25.5" x14ac:dyDescent="0.35">
      <c r="A5" s="20" t="s">
        <v>149</v>
      </c>
    </row>
    <row r="6" spans="1:1" x14ac:dyDescent="0.35">
      <c r="A6" s="20"/>
    </row>
    <row r="7" spans="1:1" ht="13.15" x14ac:dyDescent="0.35">
      <c r="A7" s="23" t="s">
        <v>150</v>
      </c>
    </row>
    <row r="8" spans="1:1" ht="25.5" x14ac:dyDescent="0.35">
      <c r="A8" s="20" t="s">
        <v>151</v>
      </c>
    </row>
    <row r="9" spans="1:1" x14ac:dyDescent="0.35">
      <c r="A9" s="20" t="s">
        <v>152</v>
      </c>
    </row>
    <row r="10" spans="1:1" x14ac:dyDescent="0.35">
      <c r="A10" s="20"/>
    </row>
    <row r="11" spans="1:1" ht="13.15" x14ac:dyDescent="0.35">
      <c r="A11" s="23" t="s">
        <v>153</v>
      </c>
    </row>
    <row r="12" spans="1:1" ht="25.5" x14ac:dyDescent="0.35">
      <c r="A12" s="20" t="s">
        <v>154</v>
      </c>
    </row>
    <row r="13" spans="1:1" ht="25.5" x14ac:dyDescent="0.35">
      <c r="A13" s="20" t="s">
        <v>155</v>
      </c>
    </row>
    <row r="14" spans="1:1" x14ac:dyDescent="0.35">
      <c r="A14" s="20"/>
    </row>
    <row r="15" spans="1:1" ht="13.15" x14ac:dyDescent="0.35">
      <c r="A15" s="23" t="s">
        <v>156</v>
      </c>
    </row>
    <row r="16" spans="1:1" x14ac:dyDescent="0.35">
      <c r="A16" s="20" t="s">
        <v>157</v>
      </c>
    </row>
    <row r="17" spans="1:1" x14ac:dyDescent="0.35">
      <c r="A17" s="20" t="s">
        <v>158</v>
      </c>
    </row>
    <row r="18" spans="1:1" x14ac:dyDescent="0.35">
      <c r="A18" s="20" t="s">
        <v>159</v>
      </c>
    </row>
    <row r="19" spans="1:1" x14ac:dyDescent="0.35">
      <c r="A19" s="20" t="s">
        <v>160</v>
      </c>
    </row>
    <row r="20" spans="1:1" x14ac:dyDescent="0.35">
      <c r="A20" s="20" t="s">
        <v>161</v>
      </c>
    </row>
    <row r="21" spans="1:1" x14ac:dyDescent="0.35">
      <c r="A21" s="20" t="s">
        <v>162</v>
      </c>
    </row>
    <row r="22" spans="1:1" x14ac:dyDescent="0.35">
      <c r="A22" s="20"/>
    </row>
    <row r="23" spans="1:1" ht="13.15" x14ac:dyDescent="0.35">
      <c r="A23" s="23" t="s">
        <v>163</v>
      </c>
    </row>
    <row r="24" spans="1:1" x14ac:dyDescent="0.35">
      <c r="A24" s="20" t="s">
        <v>164</v>
      </c>
    </row>
    <row r="25" spans="1:1" x14ac:dyDescent="0.35">
      <c r="A25" s="20"/>
    </row>
    <row r="26" spans="1:1" ht="13.15" x14ac:dyDescent="0.35">
      <c r="A26" s="23" t="s">
        <v>165</v>
      </c>
    </row>
    <row r="27" spans="1:1" ht="25.5" x14ac:dyDescent="0.35">
      <c r="A27" s="20" t="s">
        <v>166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EB86E-6FFB-4B07-8287-03456F9AC7F4}">
  <dimension ref="A1:G36"/>
  <sheetViews>
    <sheetView tabSelected="1" workbookViewId="0">
      <pane ySplit="3" topLeftCell="A4" activePane="bottomLeft" state="frozenSplit"/>
      <selection pane="bottomLeft" activeCell="B21" sqref="B21"/>
    </sheetView>
  </sheetViews>
  <sheetFormatPr defaultRowHeight="12.75" x14ac:dyDescent="0.35"/>
  <cols>
    <col min="1" max="1" width="52.5625" style="1" customWidth="1"/>
    <col min="2" max="2" width="18.5625" style="1" customWidth="1"/>
    <col min="3" max="6" width="14.5625" style="1" customWidth="1"/>
    <col min="7" max="7" width="60.5625" style="1" customWidth="1"/>
    <col min="8" max="16384" width="9" style="1"/>
  </cols>
  <sheetData>
    <row r="1" spans="1:7" ht="16.899999999999999" x14ac:dyDescent="0.35">
      <c r="A1" s="2" t="s">
        <v>0</v>
      </c>
    </row>
    <row r="2" spans="1:7" x14ac:dyDescent="0.35">
      <c r="A2" s="3" t="s">
        <v>1</v>
      </c>
    </row>
    <row r="3" spans="1:7" ht="26.25" customHeight="1" x14ac:dyDescent="0.35">
      <c r="A3" s="5" t="s">
        <v>2</v>
      </c>
      <c r="B3" s="5" t="s">
        <v>3</v>
      </c>
      <c r="C3" s="24" t="s">
        <v>4</v>
      </c>
      <c r="D3" s="24"/>
      <c r="E3" s="24"/>
      <c r="F3" s="24"/>
      <c r="G3" s="24"/>
    </row>
    <row r="4" spans="1:7" x14ac:dyDescent="0.35">
      <c r="A4" s="1" t="s">
        <v>5</v>
      </c>
      <c r="B4" s="9">
        <v>0.35</v>
      </c>
      <c r="C4" s="1" t="s">
        <v>6</v>
      </c>
    </row>
    <row r="5" spans="1:7" x14ac:dyDescent="0.35">
      <c r="A5" s="1" t="s">
        <v>7</v>
      </c>
      <c r="B5" s="9">
        <v>0.68</v>
      </c>
      <c r="C5" s="1" t="s">
        <v>8</v>
      </c>
    </row>
    <row r="6" spans="1:7" x14ac:dyDescent="0.35">
      <c r="A6" s="1" t="s">
        <v>9</v>
      </c>
      <c r="B6" s="10">
        <f>ROUND(B4*B5,3)</f>
        <v>0.23799999999999999</v>
      </c>
      <c r="C6" s="1" t="s">
        <v>10</v>
      </c>
    </row>
    <row r="7" spans="1:7" x14ac:dyDescent="0.35">
      <c r="A7" s="1" t="s">
        <v>11</v>
      </c>
      <c r="B7" s="7">
        <v>2</v>
      </c>
      <c r="C7" s="1" t="s">
        <v>12</v>
      </c>
    </row>
    <row r="8" spans="1:7" x14ac:dyDescent="0.35">
      <c r="A8" s="1" t="s">
        <v>13</v>
      </c>
      <c r="B8" s="8">
        <v>0.8</v>
      </c>
      <c r="C8" s="1" t="s">
        <v>14</v>
      </c>
    </row>
    <row r="9" spans="1:7" x14ac:dyDescent="0.35">
      <c r="A9" s="1" t="s">
        <v>15</v>
      </c>
      <c r="B9" s="8">
        <v>0.85</v>
      </c>
      <c r="C9" s="1" t="s">
        <v>16</v>
      </c>
    </row>
    <row r="10" spans="1:7" x14ac:dyDescent="0.35">
      <c r="A10" s="1" t="s">
        <v>17</v>
      </c>
      <c r="B10" s="8">
        <v>0.01</v>
      </c>
      <c r="C10" s="1" t="s">
        <v>18</v>
      </c>
    </row>
    <row r="11" spans="1:7" x14ac:dyDescent="0.35">
      <c r="A11" s="1" t="s">
        <v>19</v>
      </c>
      <c r="B11" s="8">
        <v>0.25</v>
      </c>
      <c r="C11" s="1" t="s">
        <v>20</v>
      </c>
    </row>
    <row r="12" spans="1:7" x14ac:dyDescent="0.35">
      <c r="A12" s="1" t="s">
        <v>21</v>
      </c>
      <c r="B12" s="6" t="s">
        <v>22</v>
      </c>
      <c r="C12" s="1" t="s">
        <v>23</v>
      </c>
    </row>
    <row r="15" spans="1:7" ht="13.15" x14ac:dyDescent="0.35">
      <c r="A15" s="4" t="s">
        <v>24</v>
      </c>
    </row>
    <row r="16" spans="1:7" ht="13.15" x14ac:dyDescent="0.35">
      <c r="A16" s="5" t="s">
        <v>25</v>
      </c>
      <c r="B16" s="5" t="s">
        <v>26</v>
      </c>
      <c r="C16" s="5" t="s">
        <v>27</v>
      </c>
      <c r="D16" s="5" t="s">
        <v>28</v>
      </c>
      <c r="E16" s="5" t="s">
        <v>29</v>
      </c>
      <c r="F16" s="5" t="s">
        <v>30</v>
      </c>
      <c r="G16" s="5" t="s">
        <v>31</v>
      </c>
    </row>
    <row r="17" spans="1:7" x14ac:dyDescent="0.35">
      <c r="A17" s="1" t="s">
        <v>32</v>
      </c>
      <c r="B17" s="8">
        <v>0.3</v>
      </c>
      <c r="C17" s="8">
        <v>0.25</v>
      </c>
      <c r="D17" s="8">
        <v>0.2</v>
      </c>
      <c r="E17" s="8">
        <v>0.25</v>
      </c>
      <c r="F17" s="11">
        <f t="shared" ref="F17:F22" si="0">SUM(B17:E17)</f>
        <v>1</v>
      </c>
      <c r="G17" s="1" t="s">
        <v>33</v>
      </c>
    </row>
    <row r="18" spans="1:7" x14ac:dyDescent="0.35">
      <c r="A18" s="1" t="s">
        <v>34</v>
      </c>
      <c r="B18" s="8">
        <v>0.72</v>
      </c>
      <c r="C18" s="8">
        <v>0.1</v>
      </c>
      <c r="D18" s="8">
        <v>0.12</v>
      </c>
      <c r="E18" s="8">
        <v>0.06</v>
      </c>
      <c r="F18" s="11">
        <f t="shared" si="0"/>
        <v>1</v>
      </c>
      <c r="G18" s="1" t="s">
        <v>35</v>
      </c>
    </row>
    <row r="19" spans="1:7" x14ac:dyDescent="0.35">
      <c r="A19" s="1" t="s">
        <v>36</v>
      </c>
      <c r="B19" s="8">
        <v>0.7</v>
      </c>
      <c r="C19" s="8">
        <v>0.12</v>
      </c>
      <c r="D19" s="8">
        <v>0.1</v>
      </c>
      <c r="E19" s="8">
        <v>0.08</v>
      </c>
      <c r="F19" s="11">
        <f t="shared" si="0"/>
        <v>0.99999999999999989</v>
      </c>
      <c r="G19" s="1" t="s">
        <v>35</v>
      </c>
    </row>
    <row r="20" spans="1:7" x14ac:dyDescent="0.35">
      <c r="A20" s="1" t="s">
        <v>37</v>
      </c>
      <c r="B20" s="8">
        <v>0.08</v>
      </c>
      <c r="C20" s="8">
        <v>0.68</v>
      </c>
      <c r="D20" s="8">
        <v>0.08</v>
      </c>
      <c r="E20" s="8">
        <v>0.16</v>
      </c>
      <c r="F20" s="11">
        <f t="shared" si="0"/>
        <v>1</v>
      </c>
      <c r="G20" s="1" t="s">
        <v>38</v>
      </c>
    </row>
    <row r="21" spans="1:7" x14ac:dyDescent="0.35">
      <c r="A21" s="1" t="s">
        <v>39</v>
      </c>
      <c r="B21" s="8">
        <v>0.15</v>
      </c>
      <c r="C21" s="8">
        <v>0.05</v>
      </c>
      <c r="D21" s="8">
        <v>0.75</v>
      </c>
      <c r="E21" s="8">
        <v>0.05</v>
      </c>
      <c r="F21" s="11">
        <f t="shared" si="0"/>
        <v>1</v>
      </c>
      <c r="G21" s="1" t="s">
        <v>40</v>
      </c>
    </row>
    <row r="22" spans="1:7" x14ac:dyDescent="0.35">
      <c r="A22" s="1" t="s">
        <v>41</v>
      </c>
      <c r="B22" s="8">
        <v>0.05</v>
      </c>
      <c r="C22" s="8">
        <v>0.08</v>
      </c>
      <c r="D22" s="8">
        <v>0.1</v>
      </c>
      <c r="E22" s="8">
        <v>0.77</v>
      </c>
      <c r="F22" s="11">
        <f t="shared" si="0"/>
        <v>1</v>
      </c>
      <c r="G22" s="1" t="s">
        <v>42</v>
      </c>
    </row>
    <row r="23" spans="1:7" x14ac:dyDescent="0.35">
      <c r="A23" s="3" t="s">
        <v>43</v>
      </c>
    </row>
    <row r="25" spans="1:7" ht="13.15" x14ac:dyDescent="0.35">
      <c r="A25" s="4" t="s">
        <v>44</v>
      </c>
    </row>
    <row r="26" spans="1:7" ht="39.4" x14ac:dyDescent="0.35">
      <c r="A26" s="5" t="s">
        <v>45</v>
      </c>
      <c r="B26" s="5" t="s">
        <v>46</v>
      </c>
      <c r="C26" s="5" t="s">
        <v>47</v>
      </c>
      <c r="D26" s="5" t="s">
        <v>48</v>
      </c>
    </row>
    <row r="27" spans="1:7" x14ac:dyDescent="0.35">
      <c r="A27" s="1" t="s">
        <v>26</v>
      </c>
      <c r="B27" s="13">
        <v>4100</v>
      </c>
      <c r="C27" s="12">
        <f>B27/SUM($B$27:$B$30)</f>
        <v>0.29285714285714287</v>
      </c>
      <c r="D27" s="12">
        <f>INDEX($B$17:$E$17,MATCH(A27,$B$16:$E$16,0))</f>
        <v>0.3</v>
      </c>
    </row>
    <row r="28" spans="1:7" x14ac:dyDescent="0.35">
      <c r="A28" s="1" t="s">
        <v>27</v>
      </c>
      <c r="B28" s="13">
        <v>3400</v>
      </c>
      <c r="C28" s="12">
        <f>B28/SUM($B$27:$B$30)</f>
        <v>0.24285714285714285</v>
      </c>
      <c r="D28" s="12">
        <f>INDEX($B$17:$E$17,MATCH(A28,$B$16:$E$16,0))</f>
        <v>0.25</v>
      </c>
    </row>
    <row r="29" spans="1:7" x14ac:dyDescent="0.35">
      <c r="A29" s="1" t="s">
        <v>28</v>
      </c>
      <c r="B29" s="13">
        <v>2800</v>
      </c>
      <c r="C29" s="12">
        <f>B29/SUM($B$27:$B$30)</f>
        <v>0.2</v>
      </c>
      <c r="D29" s="12">
        <f>INDEX($B$17:$E$17,MATCH(A29,$B$16:$E$16,0))</f>
        <v>0.2</v>
      </c>
    </row>
    <row r="30" spans="1:7" x14ac:dyDescent="0.35">
      <c r="A30" s="1" t="s">
        <v>29</v>
      </c>
      <c r="B30" s="13">
        <v>3700</v>
      </c>
      <c r="C30" s="12">
        <f>B30/SUM($B$27:$B$30)</f>
        <v>0.26428571428571429</v>
      </c>
      <c r="D30" s="12">
        <f>INDEX($B$17:$E$17,MATCH(A30,$B$16:$E$16,0))</f>
        <v>0.25</v>
      </c>
    </row>
    <row r="31" spans="1:7" x14ac:dyDescent="0.35">
      <c r="A31" s="1" t="s">
        <v>30</v>
      </c>
      <c r="B31" s="14">
        <f>SUM(B27:B30)</f>
        <v>14000</v>
      </c>
    </row>
    <row r="33" spans="1:2" ht="13.15" x14ac:dyDescent="0.35">
      <c r="A33" s="4" t="s">
        <v>49</v>
      </c>
    </row>
    <row r="34" spans="1:2" ht="26.25" x14ac:dyDescent="0.35">
      <c r="A34" s="5" t="s">
        <v>50</v>
      </c>
      <c r="B34" s="5" t="s">
        <v>51</v>
      </c>
    </row>
    <row r="35" spans="1:2" x14ac:dyDescent="0.35">
      <c r="A35" s="1" t="s">
        <v>52</v>
      </c>
      <c r="B35" s="6">
        <v>2023</v>
      </c>
    </row>
    <row r="36" spans="1:2" x14ac:dyDescent="0.35">
      <c r="A36" s="1" t="s">
        <v>39</v>
      </c>
      <c r="B36" s="6">
        <v>2023</v>
      </c>
    </row>
  </sheetData>
  <mergeCells count="1">
    <mergeCell ref="C3:G3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68D25-2BFE-41CF-930C-049C0F33B121}">
  <dimension ref="A1:M25"/>
  <sheetViews>
    <sheetView workbookViewId="0">
      <pane ySplit="3" topLeftCell="A4" activePane="bottomLeft" state="frozenSplit"/>
      <selection pane="bottomLeft" activeCell="M5" sqref="M5"/>
    </sheetView>
  </sheetViews>
  <sheetFormatPr defaultRowHeight="12.75" x14ac:dyDescent="0.35"/>
  <cols>
    <col min="1" max="1" width="14.5625" style="1" customWidth="1"/>
    <col min="2" max="2" width="32.5625" style="1" customWidth="1"/>
    <col min="3" max="3" width="60.5625" style="1" customWidth="1"/>
    <col min="4" max="12" width="14.5625" style="1" customWidth="1"/>
    <col min="13" max="13" width="8.5625" style="1" customWidth="1"/>
    <col min="14" max="16384" width="9" style="1"/>
  </cols>
  <sheetData>
    <row r="1" spans="1:13" ht="16.899999999999999" x14ac:dyDescent="0.35">
      <c r="A1" s="2" t="s">
        <v>53</v>
      </c>
    </row>
    <row r="2" spans="1:13" x14ac:dyDescent="0.35">
      <c r="A2" s="3" t="s">
        <v>54</v>
      </c>
    </row>
    <row r="3" spans="1:13" ht="39.4" x14ac:dyDescent="0.35">
      <c r="A3" s="5" t="s">
        <v>50</v>
      </c>
      <c r="B3" s="5" t="s">
        <v>55</v>
      </c>
      <c r="C3" s="5" t="s">
        <v>56</v>
      </c>
      <c r="D3" s="5" t="s">
        <v>57</v>
      </c>
      <c r="E3" s="5" t="s">
        <v>58</v>
      </c>
      <c r="F3" s="5" t="s">
        <v>59</v>
      </c>
      <c r="G3" s="5" t="s">
        <v>60</v>
      </c>
      <c r="H3" s="5" t="s">
        <v>61</v>
      </c>
      <c r="I3" s="5" t="s">
        <v>62</v>
      </c>
      <c r="J3" s="5" t="s">
        <v>63</v>
      </c>
      <c r="K3" s="5" t="s">
        <v>64</v>
      </c>
      <c r="L3" s="5" t="s">
        <v>65</v>
      </c>
      <c r="M3" s="5" t="s">
        <v>66</v>
      </c>
    </row>
    <row r="4" spans="1:13" x14ac:dyDescent="0.35">
      <c r="A4" s="1" t="s">
        <v>34</v>
      </c>
      <c r="B4" s="1" t="s">
        <v>67</v>
      </c>
      <c r="C4" s="20" t="s">
        <v>67</v>
      </c>
      <c r="D4" s="15">
        <v>153111.25</v>
      </c>
      <c r="E4" s="15">
        <v>166237.65</v>
      </c>
      <c r="F4" s="15">
        <v>169065.22</v>
      </c>
      <c r="G4" s="14">
        <f t="shared" ref="G4:G15" si="0">ROUND(D4*CostFactor,0)</f>
        <v>36440</v>
      </c>
      <c r="H4" s="14">
        <f t="shared" ref="H4:H15" si="1">ROUND(E4*CostFactor,0)</f>
        <v>39565</v>
      </c>
      <c r="I4" s="14">
        <f t="shared" ref="I4:I15" si="2">ROUND(F4*CostFactor,0)</f>
        <v>40238</v>
      </c>
      <c r="J4" s="19">
        <v>36440</v>
      </c>
      <c r="K4" s="19">
        <v>39565</v>
      </c>
      <c r="L4" s="19">
        <v>40238</v>
      </c>
      <c r="M4" s="1" t="b">
        <f t="shared" ref="M4:M15" si="3">AND(G4=J4,H4=K4,I4=L4)</f>
        <v>1</v>
      </c>
    </row>
    <row r="5" spans="1:13" x14ac:dyDescent="0.35">
      <c r="A5" s="1" t="s">
        <v>36</v>
      </c>
      <c r="B5" s="1" t="s">
        <v>68</v>
      </c>
      <c r="C5" s="20" t="s">
        <v>69</v>
      </c>
      <c r="D5" s="15">
        <v>247290.51</v>
      </c>
      <c r="E5" s="15">
        <v>267817.5</v>
      </c>
      <c r="F5" s="15">
        <v>275664.06</v>
      </c>
      <c r="G5" s="14">
        <f t="shared" si="0"/>
        <v>58855</v>
      </c>
      <c r="H5" s="14">
        <f t="shared" si="1"/>
        <v>63741</v>
      </c>
      <c r="I5" s="14">
        <f t="shared" si="2"/>
        <v>65608</v>
      </c>
      <c r="J5" s="19">
        <v>58855</v>
      </c>
      <c r="K5" s="19">
        <v>63741</v>
      </c>
      <c r="L5" s="19">
        <v>65608</v>
      </c>
      <c r="M5" s="1" t="b">
        <f t="shared" si="3"/>
        <v>1</v>
      </c>
    </row>
    <row r="6" spans="1:13" x14ac:dyDescent="0.35">
      <c r="A6" s="1" t="s">
        <v>70</v>
      </c>
      <c r="B6" s="1" t="s">
        <v>71</v>
      </c>
      <c r="C6" s="20" t="s">
        <v>71</v>
      </c>
      <c r="D6" s="15">
        <v>6558.05</v>
      </c>
      <c r="E6" s="15">
        <v>7178.62</v>
      </c>
      <c r="F6" s="15">
        <v>7612.77</v>
      </c>
      <c r="G6" s="14">
        <f t="shared" si="0"/>
        <v>1561</v>
      </c>
      <c r="H6" s="14">
        <f t="shared" si="1"/>
        <v>1709</v>
      </c>
      <c r="I6" s="14">
        <f t="shared" si="2"/>
        <v>1812</v>
      </c>
      <c r="J6" s="19">
        <v>1561</v>
      </c>
      <c r="K6" s="19">
        <v>1709</v>
      </c>
      <c r="L6" s="19">
        <v>1812</v>
      </c>
      <c r="M6" s="1" t="b">
        <f t="shared" si="3"/>
        <v>1</v>
      </c>
    </row>
    <row r="7" spans="1:13" x14ac:dyDescent="0.35">
      <c r="A7" s="1" t="s">
        <v>72</v>
      </c>
      <c r="B7" s="1" t="s">
        <v>73</v>
      </c>
      <c r="C7" s="20" t="s">
        <v>73</v>
      </c>
      <c r="D7" s="15">
        <v>791220.03</v>
      </c>
      <c r="E7" s="15">
        <v>844702.41</v>
      </c>
      <c r="F7" s="15">
        <v>880739.64</v>
      </c>
      <c r="G7" s="14">
        <f t="shared" si="0"/>
        <v>188310</v>
      </c>
      <c r="H7" s="14">
        <f t="shared" si="1"/>
        <v>201039</v>
      </c>
      <c r="I7" s="14">
        <f t="shared" si="2"/>
        <v>209616</v>
      </c>
      <c r="J7" s="19">
        <v>188310</v>
      </c>
      <c r="K7" s="19">
        <v>201039</v>
      </c>
      <c r="L7" s="19">
        <v>209616</v>
      </c>
      <c r="M7" s="1" t="b">
        <f t="shared" si="3"/>
        <v>1</v>
      </c>
    </row>
    <row r="8" spans="1:13" x14ac:dyDescent="0.35">
      <c r="A8" s="1" t="s">
        <v>52</v>
      </c>
      <c r="B8" s="1" t="s">
        <v>74</v>
      </c>
      <c r="C8" s="20" t="s">
        <v>74</v>
      </c>
      <c r="D8" s="15">
        <v>1082625.6599999999</v>
      </c>
      <c r="E8" s="15">
        <v>1180990.49</v>
      </c>
      <c r="F8" s="15">
        <v>1202781.27</v>
      </c>
      <c r="G8" s="14">
        <f t="shared" si="0"/>
        <v>257665</v>
      </c>
      <c r="H8" s="14">
        <f t="shared" si="1"/>
        <v>281076</v>
      </c>
      <c r="I8" s="14">
        <f t="shared" si="2"/>
        <v>286262</v>
      </c>
      <c r="J8" s="19">
        <v>257665</v>
      </c>
      <c r="K8" s="19">
        <v>281076</v>
      </c>
      <c r="L8" s="19">
        <v>286262</v>
      </c>
      <c r="M8" s="1" t="b">
        <f t="shared" si="3"/>
        <v>1</v>
      </c>
    </row>
    <row r="9" spans="1:13" x14ac:dyDescent="0.35">
      <c r="A9" s="1" t="s">
        <v>75</v>
      </c>
      <c r="B9" s="1" t="s">
        <v>76</v>
      </c>
      <c r="C9" s="20" t="s">
        <v>77</v>
      </c>
      <c r="D9" s="15">
        <v>266338.38</v>
      </c>
      <c r="E9" s="15">
        <v>450941.37</v>
      </c>
      <c r="F9" s="15">
        <v>474113.49</v>
      </c>
      <c r="G9" s="14">
        <f t="shared" si="0"/>
        <v>63389</v>
      </c>
      <c r="H9" s="14">
        <f t="shared" si="1"/>
        <v>107324</v>
      </c>
      <c r="I9" s="14">
        <f t="shared" si="2"/>
        <v>112839</v>
      </c>
      <c r="J9" s="19">
        <v>63389</v>
      </c>
      <c r="K9" s="19">
        <v>107324</v>
      </c>
      <c r="L9" s="19">
        <v>112839</v>
      </c>
      <c r="M9" s="1" t="b">
        <f t="shared" si="3"/>
        <v>1</v>
      </c>
    </row>
    <row r="10" spans="1:13" x14ac:dyDescent="0.35">
      <c r="A10" s="1" t="s">
        <v>37</v>
      </c>
      <c r="B10" s="1" t="s">
        <v>78</v>
      </c>
      <c r="C10" s="20" t="s">
        <v>78</v>
      </c>
      <c r="D10" s="15">
        <v>58120.31</v>
      </c>
      <c r="E10" s="15">
        <v>60622.6</v>
      </c>
      <c r="F10" s="15">
        <v>62144.05</v>
      </c>
      <c r="G10" s="14">
        <f t="shared" si="0"/>
        <v>13833</v>
      </c>
      <c r="H10" s="14">
        <f t="shared" si="1"/>
        <v>14428</v>
      </c>
      <c r="I10" s="14">
        <f t="shared" si="2"/>
        <v>14790</v>
      </c>
      <c r="J10" s="19">
        <v>13833</v>
      </c>
      <c r="K10" s="19">
        <v>14428</v>
      </c>
      <c r="L10" s="19">
        <v>14790</v>
      </c>
      <c r="M10" s="1" t="b">
        <f t="shared" si="3"/>
        <v>1</v>
      </c>
    </row>
    <row r="11" spans="1:13" x14ac:dyDescent="0.35">
      <c r="A11" s="1" t="s">
        <v>39</v>
      </c>
      <c r="B11" s="1" t="s">
        <v>79</v>
      </c>
      <c r="C11" s="20" t="s">
        <v>79</v>
      </c>
      <c r="D11" s="15">
        <v>10636.81</v>
      </c>
      <c r="E11" s="15">
        <v>11709.98</v>
      </c>
      <c r="F11" s="15">
        <v>11341.56</v>
      </c>
      <c r="G11" s="14">
        <f t="shared" si="0"/>
        <v>2532</v>
      </c>
      <c r="H11" s="14">
        <f t="shared" si="1"/>
        <v>2787</v>
      </c>
      <c r="I11" s="14">
        <f t="shared" si="2"/>
        <v>2699</v>
      </c>
      <c r="J11" s="19">
        <v>2532</v>
      </c>
      <c r="K11" s="19">
        <v>2787</v>
      </c>
      <c r="L11" s="19">
        <v>2699</v>
      </c>
      <c r="M11" s="1" t="b">
        <f t="shared" si="3"/>
        <v>1</v>
      </c>
    </row>
    <row r="12" spans="1:13" ht="25.5" x14ac:dyDescent="0.35">
      <c r="A12" s="1" t="s">
        <v>80</v>
      </c>
      <c r="B12" s="1" t="s">
        <v>81</v>
      </c>
      <c r="C12" s="20" t="s">
        <v>82</v>
      </c>
      <c r="D12" s="15">
        <v>4733.66</v>
      </c>
      <c r="E12" s="15">
        <v>5180.54</v>
      </c>
      <c r="F12" s="15">
        <v>5205.8599999999997</v>
      </c>
      <c r="G12" s="14">
        <f t="shared" si="0"/>
        <v>1127</v>
      </c>
      <c r="H12" s="14">
        <f t="shared" si="1"/>
        <v>1233</v>
      </c>
      <c r="I12" s="14">
        <f t="shared" si="2"/>
        <v>1239</v>
      </c>
      <c r="J12" s="19">
        <v>1127</v>
      </c>
      <c r="K12" s="19">
        <v>1233</v>
      </c>
      <c r="L12" s="19">
        <v>1239</v>
      </c>
      <c r="M12" s="1" t="b">
        <f t="shared" si="3"/>
        <v>1</v>
      </c>
    </row>
    <row r="13" spans="1:13" x14ac:dyDescent="0.35">
      <c r="A13" s="1" t="s">
        <v>41</v>
      </c>
      <c r="B13" s="1" t="s">
        <v>83</v>
      </c>
      <c r="C13" s="20" t="s">
        <v>83</v>
      </c>
      <c r="D13" s="15">
        <v>61268.88</v>
      </c>
      <c r="E13" s="15">
        <v>67288.240000000005</v>
      </c>
      <c r="F13" s="15">
        <v>69453.100000000006</v>
      </c>
      <c r="G13" s="14">
        <f t="shared" si="0"/>
        <v>14582</v>
      </c>
      <c r="H13" s="14">
        <f t="shared" si="1"/>
        <v>16015</v>
      </c>
      <c r="I13" s="14">
        <f t="shared" si="2"/>
        <v>16530</v>
      </c>
      <c r="J13" s="19">
        <v>14582</v>
      </c>
      <c r="K13" s="19">
        <v>16015</v>
      </c>
      <c r="L13" s="19">
        <v>16530</v>
      </c>
      <c r="M13" s="1" t="b">
        <f t="shared" si="3"/>
        <v>1</v>
      </c>
    </row>
    <row r="14" spans="1:13" ht="25.5" x14ac:dyDescent="0.35">
      <c r="A14" s="1" t="s">
        <v>84</v>
      </c>
      <c r="B14" s="1" t="s">
        <v>85</v>
      </c>
      <c r="C14" s="20" t="s">
        <v>86</v>
      </c>
      <c r="D14" s="15">
        <v>0</v>
      </c>
      <c r="E14" s="15">
        <v>0</v>
      </c>
      <c r="F14" s="15">
        <v>0</v>
      </c>
      <c r="G14" s="14">
        <f t="shared" si="0"/>
        <v>0</v>
      </c>
      <c r="H14" s="14">
        <f t="shared" si="1"/>
        <v>0</v>
      </c>
      <c r="I14" s="14">
        <f t="shared" si="2"/>
        <v>0</v>
      </c>
      <c r="J14" s="19">
        <v>0</v>
      </c>
      <c r="K14" s="19">
        <v>0</v>
      </c>
      <c r="L14" s="19">
        <v>0</v>
      </c>
      <c r="M14" s="1" t="b">
        <f t="shared" si="3"/>
        <v>1</v>
      </c>
    </row>
    <row r="15" spans="1:13" x14ac:dyDescent="0.35">
      <c r="A15" s="1" t="s">
        <v>87</v>
      </c>
      <c r="B15" s="1" t="s">
        <v>88</v>
      </c>
      <c r="C15" s="20" t="s">
        <v>89</v>
      </c>
      <c r="D15" s="16">
        <f>SUM(D21:D25)</f>
        <v>16998.560000000001</v>
      </c>
      <c r="E15" s="16">
        <f>SUM(E21:E25)</f>
        <v>9972.3499999999985</v>
      </c>
      <c r="F15" s="16">
        <f>SUM(F21:F25)</f>
        <v>7526.3999999999987</v>
      </c>
      <c r="G15" s="14">
        <f t="shared" si="0"/>
        <v>4046</v>
      </c>
      <c r="H15" s="14">
        <f t="shared" si="1"/>
        <v>2373</v>
      </c>
      <c r="I15" s="14">
        <f t="shared" si="2"/>
        <v>1791</v>
      </c>
      <c r="J15" s="19">
        <v>4046</v>
      </c>
      <c r="K15" s="19">
        <v>2373</v>
      </c>
      <c r="L15" s="19">
        <v>1791</v>
      </c>
      <c r="M15" s="1" t="b">
        <f t="shared" si="3"/>
        <v>1</v>
      </c>
    </row>
    <row r="16" spans="1:13" ht="13.15" x14ac:dyDescent="0.35">
      <c r="B16" s="4" t="s">
        <v>90</v>
      </c>
      <c r="D16" s="17">
        <f t="shared" ref="D16:L16" si="4">SUM(D4:D15)</f>
        <v>2698902.1</v>
      </c>
      <c r="E16" s="17">
        <f t="shared" si="4"/>
        <v>3072641.7500000005</v>
      </c>
      <c r="F16" s="17">
        <f t="shared" si="4"/>
        <v>3165647.42</v>
      </c>
      <c r="G16" s="18">
        <f t="shared" si="4"/>
        <v>642340</v>
      </c>
      <c r="H16" s="18">
        <f t="shared" si="4"/>
        <v>731290</v>
      </c>
      <c r="I16" s="18">
        <f t="shared" si="4"/>
        <v>753424</v>
      </c>
      <c r="J16" s="18">
        <f t="shared" si="4"/>
        <v>642340</v>
      </c>
      <c r="K16" s="18">
        <f t="shared" si="4"/>
        <v>731290</v>
      </c>
      <c r="L16" s="18">
        <f t="shared" si="4"/>
        <v>753424</v>
      </c>
    </row>
    <row r="17" spans="1:6" x14ac:dyDescent="0.35">
      <c r="B17" s="3" t="s">
        <v>91</v>
      </c>
    </row>
    <row r="19" spans="1:6" ht="13.15" x14ac:dyDescent="0.35">
      <c r="A19" s="4" t="s">
        <v>92</v>
      </c>
    </row>
    <row r="20" spans="1:6" ht="39.4" x14ac:dyDescent="0.35">
      <c r="A20" s="5"/>
      <c r="B20" s="5" t="s">
        <v>93</v>
      </c>
      <c r="C20" s="5" t="s">
        <v>56</v>
      </c>
      <c r="D20" s="5" t="s">
        <v>57</v>
      </c>
      <c r="E20" s="5" t="s">
        <v>58</v>
      </c>
      <c r="F20" s="5" t="s">
        <v>59</v>
      </c>
    </row>
    <row r="21" spans="1:6" x14ac:dyDescent="0.35">
      <c r="B21" s="1" t="s">
        <v>94</v>
      </c>
      <c r="C21" s="1" t="s">
        <v>95</v>
      </c>
      <c r="D21" s="15">
        <v>2637.78</v>
      </c>
      <c r="E21" s="15">
        <v>2020.87</v>
      </c>
      <c r="F21" s="15">
        <v>604.79999999999995</v>
      </c>
    </row>
    <row r="22" spans="1:6" x14ac:dyDescent="0.35">
      <c r="B22" s="1" t="s">
        <v>96</v>
      </c>
      <c r="C22" s="1" t="s">
        <v>97</v>
      </c>
      <c r="D22" s="15">
        <v>3402.98</v>
      </c>
      <c r="E22" s="15">
        <v>1480.61</v>
      </c>
      <c r="F22" s="15">
        <v>1617.6</v>
      </c>
    </row>
    <row r="23" spans="1:6" x14ac:dyDescent="0.35">
      <c r="B23" s="1" t="s">
        <v>98</v>
      </c>
      <c r="C23" s="1" t="s">
        <v>99</v>
      </c>
      <c r="D23" s="15">
        <v>6611.71</v>
      </c>
      <c r="E23" s="15">
        <v>2177.42</v>
      </c>
      <c r="F23" s="15">
        <v>1974.4</v>
      </c>
    </row>
    <row r="24" spans="1:6" x14ac:dyDescent="0.35">
      <c r="B24" s="1" t="s">
        <v>100</v>
      </c>
      <c r="C24" s="1" t="s">
        <v>101</v>
      </c>
      <c r="D24" s="15">
        <v>2414.4899999999998</v>
      </c>
      <c r="E24" s="15">
        <v>3787.98</v>
      </c>
      <c r="F24" s="15">
        <v>2579.1999999999998</v>
      </c>
    </row>
    <row r="25" spans="1:6" x14ac:dyDescent="0.35">
      <c r="B25" s="1" t="s">
        <v>102</v>
      </c>
      <c r="C25" s="1" t="s">
        <v>103</v>
      </c>
      <c r="D25" s="15">
        <v>1931.6</v>
      </c>
      <c r="E25" s="15">
        <v>505.47</v>
      </c>
      <c r="F25" s="15">
        <v>750.4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D95CF-755C-4B90-8367-81C1A533B9DC}">
  <dimension ref="A1:E39"/>
  <sheetViews>
    <sheetView workbookViewId="0">
      <pane ySplit="3" topLeftCell="A16" activePane="bottomLeft" state="frozenSplit"/>
      <selection pane="bottomLeft" activeCell="D12" sqref="D12"/>
    </sheetView>
  </sheetViews>
  <sheetFormatPr defaultRowHeight="12.75" x14ac:dyDescent="0.35"/>
  <cols>
    <col min="1" max="1" width="16.5625" style="1" customWidth="1"/>
    <col min="2" max="5" width="18.5625" style="1" customWidth="1"/>
    <col min="6" max="16384" width="9" style="1"/>
  </cols>
  <sheetData>
    <row r="1" spans="1:5" ht="16.899999999999999" x14ac:dyDescent="0.35">
      <c r="A1" s="2" t="s">
        <v>104</v>
      </c>
    </row>
    <row r="2" spans="1:5" x14ac:dyDescent="0.35">
      <c r="A2" s="3" t="s">
        <v>105</v>
      </c>
    </row>
    <row r="3" spans="1:5" ht="52.5" x14ac:dyDescent="0.35">
      <c r="A3" s="5" t="s">
        <v>50</v>
      </c>
      <c r="B3" s="5" t="s">
        <v>106</v>
      </c>
      <c r="C3" s="5" t="s">
        <v>107</v>
      </c>
      <c r="D3" s="5" t="s">
        <v>108</v>
      </c>
      <c r="E3" s="5" t="s">
        <v>109</v>
      </c>
    </row>
    <row r="4" spans="1:5" x14ac:dyDescent="0.35">
      <c r="A4" s="1" t="s">
        <v>34</v>
      </c>
      <c r="B4" s="1">
        <v>2022</v>
      </c>
      <c r="C4" s="13">
        <v>15200</v>
      </c>
      <c r="D4" s="21" t="s">
        <v>110</v>
      </c>
      <c r="E4" s="1" t="str">
        <f t="shared" ref="E4:E39" si="0">IF(COUNTIFS(TA_ID,A4,TA_Start,"&lt;="&amp;B4)&gt;0,"Yes","No")</f>
        <v>No</v>
      </c>
    </row>
    <row r="5" spans="1:5" x14ac:dyDescent="0.35">
      <c r="A5" s="1" t="s">
        <v>34</v>
      </c>
      <c r="B5" s="1">
        <v>2023</v>
      </c>
      <c r="C5" s="13">
        <v>15800</v>
      </c>
      <c r="D5" s="21">
        <f>C5/C4-1</f>
        <v>3.9473684210526327E-2</v>
      </c>
      <c r="E5" s="1" t="str">
        <f t="shared" si="0"/>
        <v>No</v>
      </c>
    </row>
    <row r="6" spans="1:5" x14ac:dyDescent="0.35">
      <c r="A6" s="1" t="s">
        <v>34</v>
      </c>
      <c r="B6" s="1">
        <v>2024</v>
      </c>
      <c r="C6" s="13">
        <v>16000</v>
      </c>
      <c r="D6" s="21">
        <f>C6/C5-1</f>
        <v>1.2658227848101333E-2</v>
      </c>
      <c r="E6" s="1" t="str">
        <f t="shared" si="0"/>
        <v>No</v>
      </c>
    </row>
    <row r="7" spans="1:5" x14ac:dyDescent="0.35">
      <c r="A7" s="1" t="s">
        <v>36</v>
      </c>
      <c r="B7" s="1">
        <v>2022</v>
      </c>
      <c r="C7" s="13">
        <v>19700</v>
      </c>
      <c r="D7" s="21" t="s">
        <v>110</v>
      </c>
      <c r="E7" s="1" t="str">
        <f t="shared" si="0"/>
        <v>No</v>
      </c>
    </row>
    <row r="8" spans="1:5" x14ac:dyDescent="0.35">
      <c r="A8" s="1" t="s">
        <v>36</v>
      </c>
      <c r="B8" s="1">
        <v>2023</v>
      </c>
      <c r="C8" s="13">
        <v>20300</v>
      </c>
      <c r="D8" s="21">
        <f>C8/C7-1</f>
        <v>3.0456852791878264E-2</v>
      </c>
      <c r="E8" s="1" t="str">
        <f t="shared" si="0"/>
        <v>No</v>
      </c>
    </row>
    <row r="9" spans="1:5" x14ac:dyDescent="0.35">
      <c r="A9" s="1" t="s">
        <v>36</v>
      </c>
      <c r="B9" s="1">
        <v>2024</v>
      </c>
      <c r="C9" s="13">
        <v>20700</v>
      </c>
      <c r="D9" s="21">
        <f>C9/C8-1</f>
        <v>1.9704433497536922E-2</v>
      </c>
      <c r="E9" s="1" t="str">
        <f t="shared" si="0"/>
        <v>No</v>
      </c>
    </row>
    <row r="10" spans="1:5" x14ac:dyDescent="0.35">
      <c r="A10" s="1" t="s">
        <v>70</v>
      </c>
      <c r="B10" s="1">
        <v>2022</v>
      </c>
      <c r="C10" s="13">
        <v>780</v>
      </c>
      <c r="D10" s="21" t="s">
        <v>110</v>
      </c>
      <c r="E10" s="1" t="str">
        <f t="shared" si="0"/>
        <v>No</v>
      </c>
    </row>
    <row r="11" spans="1:5" x14ac:dyDescent="0.35">
      <c r="A11" s="1" t="s">
        <v>70</v>
      </c>
      <c r="B11" s="1">
        <v>2023</v>
      </c>
      <c r="C11" s="13">
        <v>850</v>
      </c>
      <c r="D11" s="21">
        <f>C11/C10-1</f>
        <v>8.9743589743589647E-2</v>
      </c>
      <c r="E11" s="1" t="str">
        <f t="shared" si="0"/>
        <v>No</v>
      </c>
    </row>
    <row r="12" spans="1:5" x14ac:dyDescent="0.35">
      <c r="A12" s="1" t="s">
        <v>70</v>
      </c>
      <c r="B12" s="1">
        <v>2024</v>
      </c>
      <c r="C12" s="13">
        <v>910</v>
      </c>
      <c r="D12" s="21">
        <f>C12/C11-1</f>
        <v>7.0588235294117618E-2</v>
      </c>
      <c r="E12" s="1" t="str">
        <f t="shared" si="0"/>
        <v>No</v>
      </c>
    </row>
    <row r="13" spans="1:5" x14ac:dyDescent="0.35">
      <c r="A13" s="1" t="s">
        <v>72</v>
      </c>
      <c r="B13" s="1">
        <v>2022</v>
      </c>
      <c r="C13" s="13">
        <v>52800</v>
      </c>
      <c r="D13" s="21" t="s">
        <v>110</v>
      </c>
      <c r="E13" s="1" t="str">
        <f t="shared" si="0"/>
        <v>No</v>
      </c>
    </row>
    <row r="14" spans="1:5" x14ac:dyDescent="0.35">
      <c r="A14" s="1" t="s">
        <v>72</v>
      </c>
      <c r="B14" s="1">
        <v>2023</v>
      </c>
      <c r="C14" s="13">
        <v>54900</v>
      </c>
      <c r="D14" s="21">
        <f>C14/C13-1</f>
        <v>3.9772727272727293E-2</v>
      </c>
      <c r="E14" s="1" t="str">
        <f t="shared" si="0"/>
        <v>No</v>
      </c>
    </row>
    <row r="15" spans="1:5" x14ac:dyDescent="0.35">
      <c r="A15" s="1" t="s">
        <v>72</v>
      </c>
      <c r="B15" s="1">
        <v>2024</v>
      </c>
      <c r="C15" s="13">
        <v>56400</v>
      </c>
      <c r="D15" s="21">
        <f>C15/C14-1</f>
        <v>2.732240437158473E-2</v>
      </c>
      <c r="E15" s="1" t="str">
        <f t="shared" si="0"/>
        <v>No</v>
      </c>
    </row>
    <row r="16" spans="1:5" x14ac:dyDescent="0.35">
      <c r="A16" s="1" t="s">
        <v>52</v>
      </c>
      <c r="B16" s="1">
        <v>2022</v>
      </c>
      <c r="C16" s="13">
        <v>52000</v>
      </c>
      <c r="D16" s="21" t="s">
        <v>110</v>
      </c>
      <c r="E16" s="1" t="str">
        <f t="shared" si="0"/>
        <v>No</v>
      </c>
    </row>
    <row r="17" spans="1:5" x14ac:dyDescent="0.35">
      <c r="A17" s="1" t="s">
        <v>52</v>
      </c>
      <c r="B17" s="1">
        <v>2023</v>
      </c>
      <c r="C17" s="13">
        <v>53100</v>
      </c>
      <c r="D17" s="21">
        <f>C17/C16-1</f>
        <v>2.1153846153846079E-2</v>
      </c>
      <c r="E17" s="1" t="str">
        <f t="shared" si="0"/>
        <v>Yes</v>
      </c>
    </row>
    <row r="18" spans="1:5" x14ac:dyDescent="0.35">
      <c r="A18" s="1" t="s">
        <v>52</v>
      </c>
      <c r="B18" s="1">
        <v>2024</v>
      </c>
      <c r="C18" s="13">
        <v>53900</v>
      </c>
      <c r="D18" s="21">
        <f>C18/C17-1</f>
        <v>1.5065913370998052E-2</v>
      </c>
      <c r="E18" s="1" t="str">
        <f t="shared" si="0"/>
        <v>Yes</v>
      </c>
    </row>
    <row r="19" spans="1:5" x14ac:dyDescent="0.35">
      <c r="A19" s="1" t="s">
        <v>75</v>
      </c>
      <c r="B19" s="1">
        <v>2022</v>
      </c>
      <c r="C19" s="13">
        <v>14800</v>
      </c>
      <c r="D19" s="21" t="s">
        <v>110</v>
      </c>
      <c r="E19" s="1" t="str">
        <f t="shared" si="0"/>
        <v>No</v>
      </c>
    </row>
    <row r="20" spans="1:5" x14ac:dyDescent="0.35">
      <c r="A20" s="1" t="s">
        <v>75</v>
      </c>
      <c r="B20" s="1">
        <v>2023</v>
      </c>
      <c r="C20" s="13">
        <v>14800</v>
      </c>
      <c r="D20" s="21">
        <f>C20/C19-1</f>
        <v>0</v>
      </c>
      <c r="E20" s="1" t="str">
        <f t="shared" si="0"/>
        <v>No</v>
      </c>
    </row>
    <row r="21" spans="1:5" x14ac:dyDescent="0.35">
      <c r="A21" s="1" t="s">
        <v>75</v>
      </c>
      <c r="B21" s="1">
        <v>2024</v>
      </c>
      <c r="C21" s="13">
        <v>14800</v>
      </c>
      <c r="D21" s="21">
        <f>C21/C20-1</f>
        <v>0</v>
      </c>
      <c r="E21" s="1" t="str">
        <f t="shared" si="0"/>
        <v>No</v>
      </c>
    </row>
    <row r="22" spans="1:5" x14ac:dyDescent="0.35">
      <c r="A22" s="1" t="s">
        <v>37</v>
      </c>
      <c r="B22" s="1">
        <v>2022</v>
      </c>
      <c r="C22" s="13">
        <v>4400</v>
      </c>
      <c r="D22" s="21" t="s">
        <v>110</v>
      </c>
      <c r="E22" s="1" t="str">
        <f t="shared" si="0"/>
        <v>No</v>
      </c>
    </row>
    <row r="23" spans="1:5" x14ac:dyDescent="0.35">
      <c r="A23" s="1" t="s">
        <v>37</v>
      </c>
      <c r="B23" s="1">
        <v>2023</v>
      </c>
      <c r="C23" s="13">
        <v>4530</v>
      </c>
      <c r="D23" s="21">
        <f>C23/C22-1</f>
        <v>2.9545454545454541E-2</v>
      </c>
      <c r="E23" s="1" t="str">
        <f t="shared" si="0"/>
        <v>No</v>
      </c>
    </row>
    <row r="24" spans="1:5" x14ac:dyDescent="0.35">
      <c r="A24" s="1" t="s">
        <v>37</v>
      </c>
      <c r="B24" s="1">
        <v>2024</v>
      </c>
      <c r="C24" s="13">
        <v>4650</v>
      </c>
      <c r="D24" s="21">
        <f>C24/C23-1</f>
        <v>2.6490066225165476E-2</v>
      </c>
      <c r="E24" s="1" t="str">
        <f t="shared" si="0"/>
        <v>No</v>
      </c>
    </row>
    <row r="25" spans="1:5" x14ac:dyDescent="0.35">
      <c r="A25" s="1" t="s">
        <v>39</v>
      </c>
      <c r="B25" s="1">
        <v>2022</v>
      </c>
      <c r="C25" s="13">
        <v>1580</v>
      </c>
      <c r="D25" s="21" t="s">
        <v>110</v>
      </c>
      <c r="E25" s="1" t="str">
        <f t="shared" si="0"/>
        <v>No</v>
      </c>
    </row>
    <row r="26" spans="1:5" x14ac:dyDescent="0.35">
      <c r="A26" s="1" t="s">
        <v>39</v>
      </c>
      <c r="B26" s="1">
        <v>2023</v>
      </c>
      <c r="C26" s="13">
        <v>1650</v>
      </c>
      <c r="D26" s="21">
        <f>C26/C25-1</f>
        <v>4.4303797468354444E-2</v>
      </c>
      <c r="E26" s="1" t="str">
        <f t="shared" si="0"/>
        <v>Yes</v>
      </c>
    </row>
    <row r="27" spans="1:5" x14ac:dyDescent="0.35">
      <c r="A27" s="1" t="s">
        <v>39</v>
      </c>
      <c r="B27" s="1">
        <v>2024</v>
      </c>
      <c r="C27" s="13">
        <v>1700</v>
      </c>
      <c r="D27" s="21">
        <f>C27/C26-1</f>
        <v>3.0303030303030276E-2</v>
      </c>
      <c r="E27" s="1" t="str">
        <f t="shared" si="0"/>
        <v>Yes</v>
      </c>
    </row>
    <row r="28" spans="1:5" x14ac:dyDescent="0.35">
      <c r="A28" s="1" t="s">
        <v>80</v>
      </c>
      <c r="B28" s="1">
        <v>2022</v>
      </c>
      <c r="C28" s="13">
        <v>540</v>
      </c>
      <c r="D28" s="21" t="s">
        <v>110</v>
      </c>
      <c r="E28" s="1" t="str">
        <f t="shared" si="0"/>
        <v>No</v>
      </c>
    </row>
    <row r="29" spans="1:5" x14ac:dyDescent="0.35">
      <c r="A29" s="1" t="s">
        <v>80</v>
      </c>
      <c r="B29" s="1">
        <v>2023</v>
      </c>
      <c r="C29" s="13">
        <v>570</v>
      </c>
      <c r="D29" s="21">
        <f>C29/C28-1</f>
        <v>5.555555555555558E-2</v>
      </c>
      <c r="E29" s="1" t="str">
        <f t="shared" si="0"/>
        <v>No</v>
      </c>
    </row>
    <row r="30" spans="1:5" x14ac:dyDescent="0.35">
      <c r="A30" s="1" t="s">
        <v>80</v>
      </c>
      <c r="B30" s="1">
        <v>2024</v>
      </c>
      <c r="C30" s="13">
        <v>590</v>
      </c>
      <c r="D30" s="21">
        <f>C30/C29-1</f>
        <v>3.5087719298245723E-2</v>
      </c>
      <c r="E30" s="1" t="str">
        <f t="shared" si="0"/>
        <v>No</v>
      </c>
    </row>
    <row r="31" spans="1:5" x14ac:dyDescent="0.35">
      <c r="A31" s="1" t="s">
        <v>41</v>
      </c>
      <c r="B31" s="1">
        <v>2022</v>
      </c>
      <c r="C31" s="13">
        <v>1750</v>
      </c>
      <c r="D31" s="21" t="s">
        <v>110</v>
      </c>
      <c r="E31" s="1" t="str">
        <f t="shared" si="0"/>
        <v>No</v>
      </c>
    </row>
    <row r="32" spans="1:5" x14ac:dyDescent="0.35">
      <c r="A32" s="1" t="s">
        <v>41</v>
      </c>
      <c r="B32" s="1">
        <v>2023</v>
      </c>
      <c r="C32" s="13">
        <v>1810</v>
      </c>
      <c r="D32" s="21">
        <f>C32/C31-1</f>
        <v>3.4285714285714253E-2</v>
      </c>
      <c r="E32" s="1" t="str">
        <f t="shared" si="0"/>
        <v>No</v>
      </c>
    </row>
    <row r="33" spans="1:5" x14ac:dyDescent="0.35">
      <c r="A33" s="1" t="s">
        <v>41</v>
      </c>
      <c r="B33" s="1">
        <v>2024</v>
      </c>
      <c r="C33" s="13">
        <v>1840</v>
      </c>
      <c r="D33" s="21">
        <f>C33/C32-1</f>
        <v>1.6574585635359185E-2</v>
      </c>
      <c r="E33" s="1" t="str">
        <f t="shared" si="0"/>
        <v>No</v>
      </c>
    </row>
    <row r="34" spans="1:5" x14ac:dyDescent="0.35">
      <c r="A34" s="1" t="s">
        <v>84</v>
      </c>
      <c r="B34" s="1">
        <v>2022</v>
      </c>
      <c r="C34" s="13">
        <v>4800</v>
      </c>
      <c r="D34" s="21" t="s">
        <v>110</v>
      </c>
      <c r="E34" s="1" t="str">
        <f t="shared" si="0"/>
        <v>No</v>
      </c>
    </row>
    <row r="35" spans="1:5" x14ac:dyDescent="0.35">
      <c r="A35" s="1" t="s">
        <v>84</v>
      </c>
      <c r="B35" s="1">
        <v>2023</v>
      </c>
      <c r="C35" s="13">
        <v>4950</v>
      </c>
      <c r="D35" s="21">
        <f>C35/C34-1</f>
        <v>3.125E-2</v>
      </c>
      <c r="E35" s="1" t="str">
        <f t="shared" si="0"/>
        <v>No</v>
      </c>
    </row>
    <row r="36" spans="1:5" x14ac:dyDescent="0.35">
      <c r="A36" s="1" t="s">
        <v>84</v>
      </c>
      <c r="B36" s="1">
        <v>2024</v>
      </c>
      <c r="C36" s="13">
        <v>5100</v>
      </c>
      <c r="D36" s="21">
        <f>C36/C35-1</f>
        <v>3.0303030303030276E-2</v>
      </c>
      <c r="E36" s="1" t="str">
        <f t="shared" si="0"/>
        <v>No</v>
      </c>
    </row>
    <row r="37" spans="1:5" x14ac:dyDescent="0.35">
      <c r="A37" s="1" t="s">
        <v>87</v>
      </c>
      <c r="B37" s="1">
        <v>2022</v>
      </c>
      <c r="C37" s="13">
        <v>570</v>
      </c>
      <c r="D37" s="21" t="s">
        <v>110</v>
      </c>
      <c r="E37" s="1" t="str">
        <f t="shared" si="0"/>
        <v>No</v>
      </c>
    </row>
    <row r="38" spans="1:5" x14ac:dyDescent="0.35">
      <c r="A38" s="1" t="s">
        <v>87</v>
      </c>
      <c r="B38" s="1">
        <v>2023</v>
      </c>
      <c r="C38" s="13">
        <v>400</v>
      </c>
      <c r="D38" s="21">
        <f>C38/C37-1</f>
        <v>-0.29824561403508776</v>
      </c>
      <c r="E38" s="1" t="str">
        <f t="shared" si="0"/>
        <v>No</v>
      </c>
    </row>
    <row r="39" spans="1:5" x14ac:dyDescent="0.35">
      <c r="A39" s="1" t="s">
        <v>87</v>
      </c>
      <c r="B39" s="1">
        <v>2024</v>
      </c>
      <c r="C39" s="13">
        <v>230</v>
      </c>
      <c r="D39" s="21">
        <f>C39/C38-1</f>
        <v>-0.42500000000000004</v>
      </c>
      <c r="E39" s="1" t="str">
        <f t="shared" si="0"/>
        <v>No</v>
      </c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F9A9E-EF13-460E-835D-F16841D776BE}">
  <dimension ref="A1:O43"/>
  <sheetViews>
    <sheetView workbookViewId="0">
      <pane ySplit="3" topLeftCell="A6" activePane="bottomLeft" state="frozenSplit"/>
      <selection pane="bottomLeft" activeCell="B4" sqref="B4"/>
    </sheetView>
  </sheetViews>
  <sheetFormatPr defaultRowHeight="12.75" x14ac:dyDescent="0.35"/>
  <cols>
    <col min="1" max="1" width="16.5625" style="1" customWidth="1"/>
    <col min="2" max="14" width="14.5625" style="1" customWidth="1"/>
    <col min="15" max="15" width="8.5625" style="1" customWidth="1"/>
    <col min="16" max="16384" width="9" style="1"/>
  </cols>
  <sheetData>
    <row r="1" spans="1:15" ht="16.899999999999999" x14ac:dyDescent="0.35">
      <c r="A1" s="2" t="s">
        <v>111</v>
      </c>
    </row>
    <row r="2" spans="1:15" x14ac:dyDescent="0.35">
      <c r="A2" s="3" t="s">
        <v>112</v>
      </c>
    </row>
    <row r="3" spans="1:15" ht="52.5" x14ac:dyDescent="0.35">
      <c r="A3" s="5" t="s">
        <v>50</v>
      </c>
      <c r="B3" s="5" t="s">
        <v>106</v>
      </c>
      <c r="C3" s="5" t="s">
        <v>113</v>
      </c>
      <c r="D3" s="5" t="s">
        <v>114</v>
      </c>
      <c r="E3" s="5" t="s">
        <v>109</v>
      </c>
      <c r="F3" s="5" t="s">
        <v>115</v>
      </c>
      <c r="G3" s="5" t="s">
        <v>116</v>
      </c>
      <c r="H3" s="5" t="s">
        <v>117</v>
      </c>
      <c r="I3" s="5" t="s">
        <v>118</v>
      </c>
      <c r="J3" s="5" t="s">
        <v>119</v>
      </c>
      <c r="K3" s="5" t="s">
        <v>120</v>
      </c>
      <c r="L3" s="5" t="s">
        <v>121</v>
      </c>
      <c r="M3" s="5" t="s">
        <v>122</v>
      </c>
      <c r="N3" s="5" t="s">
        <v>123</v>
      </c>
      <c r="O3" s="5" t="s">
        <v>66</v>
      </c>
    </row>
    <row r="4" spans="1:15" x14ac:dyDescent="0.35">
      <c r="A4" s="1" t="s">
        <v>34</v>
      </c>
      <c r="B4" s="1">
        <v>2022</v>
      </c>
      <c r="C4" s="1" t="s">
        <v>124</v>
      </c>
      <c r="D4" s="14">
        <f>SUMIFS(Usage_Base!$C:$C,Usage_Base!$A:$A,A4,Usage_Base!$B:$B,B4)</f>
        <v>15200</v>
      </c>
      <c r="E4" s="1" t="str">
        <f t="shared" ref="E4:E43" si="0">IF(COUNTIFS(TA_ID,A4,TA_Start,"&lt;="&amp;B4)&gt;0,"Yes","No")</f>
        <v>No</v>
      </c>
      <c r="F4" s="11">
        <f t="shared" ref="F4:F43" si="1">IF(E4="Yes",IF(C4="OA_Gold",TAOAShare,1-TAOAShare),1)</f>
        <v>1</v>
      </c>
      <c r="G4" s="14">
        <f t="shared" ref="G4:G43" si="2">IF(ROUND(MOD(D4*F4,1),9)=0.5,2*ROUND((D4*F4)/2,0),ROUND(D4*F4,0))</f>
        <v>15200</v>
      </c>
      <c r="H4" s="14">
        <f t="shared" ref="H4:H43" si="3">G4*SearchRatio</f>
        <v>30400</v>
      </c>
      <c r="I4" s="14">
        <f t="shared" ref="I4:I43" si="4">IF(ROUND(MOD(G4*IF(C4="OA_Gold",UniqueOA,UniqueCtrl),1),9)=0.5,2*ROUND((G4*IF(C4="OA_Gold",UniqueOA,UniqueCtrl))/2,0),ROUND(G4*IF(C4="OA_Gold",UniqueOA,UniqueCtrl),0))</f>
        <v>12160</v>
      </c>
      <c r="J4" s="14">
        <f t="shared" ref="J4:J43" si="5">IF(C4="OA_Gold",0,IF(ROUND(MOD(H4*DenialRate,1),9)=0.5,2*ROUND((H4*DenialRate)/2,0),ROUND(H4*DenialRate,0)))</f>
        <v>304</v>
      </c>
      <c r="K4" s="19">
        <v>15200</v>
      </c>
      <c r="L4" s="19">
        <v>30400</v>
      </c>
      <c r="M4" s="19">
        <v>12160</v>
      </c>
      <c r="N4" s="19">
        <v>304</v>
      </c>
      <c r="O4" s="1" t="b">
        <f t="shared" ref="O4:O43" si="6">AND(G4=K4,H4=L4,I4=M4,J4=N4)</f>
        <v>1</v>
      </c>
    </row>
    <row r="5" spans="1:15" x14ac:dyDescent="0.35">
      <c r="A5" s="1" t="s">
        <v>34</v>
      </c>
      <c r="B5" s="1">
        <v>2023</v>
      </c>
      <c r="C5" s="1" t="s">
        <v>124</v>
      </c>
      <c r="D5" s="14">
        <f>SUMIFS(Usage_Base!$C:$C,Usage_Base!$A:$A,A5,Usage_Base!$B:$B,B5)</f>
        <v>15800</v>
      </c>
      <c r="E5" s="1" t="str">
        <f t="shared" si="0"/>
        <v>No</v>
      </c>
      <c r="F5" s="11">
        <f t="shared" si="1"/>
        <v>1</v>
      </c>
      <c r="G5" s="14">
        <f t="shared" si="2"/>
        <v>15800</v>
      </c>
      <c r="H5" s="14">
        <f t="shared" si="3"/>
        <v>31600</v>
      </c>
      <c r="I5" s="14">
        <f t="shared" si="4"/>
        <v>12640</v>
      </c>
      <c r="J5" s="14">
        <f t="shared" si="5"/>
        <v>316</v>
      </c>
      <c r="K5" s="19">
        <v>15800</v>
      </c>
      <c r="L5" s="19">
        <v>31600</v>
      </c>
      <c r="M5" s="19">
        <v>12640</v>
      </c>
      <c r="N5" s="19">
        <v>316</v>
      </c>
      <c r="O5" s="1" t="b">
        <f t="shared" si="6"/>
        <v>1</v>
      </c>
    </row>
    <row r="6" spans="1:15" x14ac:dyDescent="0.35">
      <c r="A6" s="1" t="s">
        <v>34</v>
      </c>
      <c r="B6" s="1">
        <v>2024</v>
      </c>
      <c r="C6" s="1" t="s">
        <v>124</v>
      </c>
      <c r="D6" s="14">
        <f>SUMIFS(Usage_Base!$C:$C,Usage_Base!$A:$A,A6,Usage_Base!$B:$B,B6)</f>
        <v>16000</v>
      </c>
      <c r="E6" s="1" t="str">
        <f t="shared" si="0"/>
        <v>No</v>
      </c>
      <c r="F6" s="11">
        <f t="shared" si="1"/>
        <v>1</v>
      </c>
      <c r="G6" s="14">
        <f t="shared" si="2"/>
        <v>16000</v>
      </c>
      <c r="H6" s="14">
        <f t="shared" si="3"/>
        <v>32000</v>
      </c>
      <c r="I6" s="14">
        <f t="shared" si="4"/>
        <v>12800</v>
      </c>
      <c r="J6" s="14">
        <f t="shared" si="5"/>
        <v>320</v>
      </c>
      <c r="K6" s="19">
        <v>16000</v>
      </c>
      <c r="L6" s="19">
        <v>32000</v>
      </c>
      <c r="M6" s="19">
        <v>12800</v>
      </c>
      <c r="N6" s="19">
        <v>320</v>
      </c>
      <c r="O6" s="1" t="b">
        <f t="shared" si="6"/>
        <v>1</v>
      </c>
    </row>
    <row r="7" spans="1:15" x14ac:dyDescent="0.35">
      <c r="A7" s="1" t="s">
        <v>36</v>
      </c>
      <c r="B7" s="1">
        <v>2022</v>
      </c>
      <c r="C7" s="1" t="s">
        <v>124</v>
      </c>
      <c r="D7" s="14">
        <f>SUMIFS(Usage_Base!$C:$C,Usage_Base!$A:$A,A7,Usage_Base!$B:$B,B7)</f>
        <v>19700</v>
      </c>
      <c r="E7" s="1" t="str">
        <f t="shared" si="0"/>
        <v>No</v>
      </c>
      <c r="F7" s="11">
        <f t="shared" si="1"/>
        <v>1</v>
      </c>
      <c r="G7" s="14">
        <f t="shared" si="2"/>
        <v>19700</v>
      </c>
      <c r="H7" s="14">
        <f t="shared" si="3"/>
        <v>39400</v>
      </c>
      <c r="I7" s="14">
        <f t="shared" si="4"/>
        <v>15760</v>
      </c>
      <c r="J7" s="14">
        <f t="shared" si="5"/>
        <v>394</v>
      </c>
      <c r="K7" s="19">
        <v>19700</v>
      </c>
      <c r="L7" s="19">
        <v>39400</v>
      </c>
      <c r="M7" s="19">
        <v>15760</v>
      </c>
      <c r="N7" s="19">
        <v>394</v>
      </c>
      <c r="O7" s="1" t="b">
        <f t="shared" si="6"/>
        <v>1</v>
      </c>
    </row>
    <row r="8" spans="1:15" x14ac:dyDescent="0.35">
      <c r="A8" s="1" t="s">
        <v>36</v>
      </c>
      <c r="B8" s="1">
        <v>2023</v>
      </c>
      <c r="C8" s="1" t="s">
        <v>124</v>
      </c>
      <c r="D8" s="14">
        <f>SUMIFS(Usage_Base!$C:$C,Usage_Base!$A:$A,A8,Usage_Base!$B:$B,B8)</f>
        <v>20300</v>
      </c>
      <c r="E8" s="1" t="str">
        <f t="shared" si="0"/>
        <v>No</v>
      </c>
      <c r="F8" s="11">
        <f t="shared" si="1"/>
        <v>1</v>
      </c>
      <c r="G8" s="14">
        <f t="shared" si="2"/>
        <v>20300</v>
      </c>
      <c r="H8" s="14">
        <f t="shared" si="3"/>
        <v>40600</v>
      </c>
      <c r="I8" s="14">
        <f t="shared" si="4"/>
        <v>16240</v>
      </c>
      <c r="J8" s="14">
        <f t="shared" si="5"/>
        <v>406</v>
      </c>
      <c r="K8" s="19">
        <v>20300</v>
      </c>
      <c r="L8" s="19">
        <v>40600</v>
      </c>
      <c r="M8" s="19">
        <v>16240</v>
      </c>
      <c r="N8" s="19">
        <v>406</v>
      </c>
      <c r="O8" s="1" t="b">
        <f t="shared" si="6"/>
        <v>1</v>
      </c>
    </row>
    <row r="9" spans="1:15" x14ac:dyDescent="0.35">
      <c r="A9" s="1" t="s">
        <v>36</v>
      </c>
      <c r="B9" s="1">
        <v>2024</v>
      </c>
      <c r="C9" s="1" t="s">
        <v>124</v>
      </c>
      <c r="D9" s="14">
        <f>SUMIFS(Usage_Base!$C:$C,Usage_Base!$A:$A,A9,Usage_Base!$B:$B,B9)</f>
        <v>20700</v>
      </c>
      <c r="E9" s="1" t="str">
        <f t="shared" si="0"/>
        <v>No</v>
      </c>
      <c r="F9" s="11">
        <f t="shared" si="1"/>
        <v>1</v>
      </c>
      <c r="G9" s="14">
        <f t="shared" si="2"/>
        <v>20700</v>
      </c>
      <c r="H9" s="14">
        <f t="shared" si="3"/>
        <v>41400</v>
      </c>
      <c r="I9" s="14">
        <f t="shared" si="4"/>
        <v>16560</v>
      </c>
      <c r="J9" s="14">
        <f t="shared" si="5"/>
        <v>414</v>
      </c>
      <c r="K9" s="19">
        <v>20700</v>
      </c>
      <c r="L9" s="19">
        <v>41400</v>
      </c>
      <c r="M9" s="19">
        <v>16560</v>
      </c>
      <c r="N9" s="19">
        <v>414</v>
      </c>
      <c r="O9" s="1" t="b">
        <f t="shared" si="6"/>
        <v>1</v>
      </c>
    </row>
    <row r="10" spans="1:15" x14ac:dyDescent="0.35">
      <c r="A10" s="1" t="s">
        <v>70</v>
      </c>
      <c r="B10" s="1">
        <v>2022</v>
      </c>
      <c r="C10" s="1" t="s">
        <v>124</v>
      </c>
      <c r="D10" s="14">
        <f>SUMIFS(Usage_Base!$C:$C,Usage_Base!$A:$A,A10,Usage_Base!$B:$B,B10)</f>
        <v>780</v>
      </c>
      <c r="E10" s="1" t="str">
        <f t="shared" si="0"/>
        <v>No</v>
      </c>
      <c r="F10" s="11">
        <f t="shared" si="1"/>
        <v>1</v>
      </c>
      <c r="G10" s="14">
        <f t="shared" si="2"/>
        <v>780</v>
      </c>
      <c r="H10" s="14">
        <f t="shared" si="3"/>
        <v>1560</v>
      </c>
      <c r="I10" s="14">
        <f t="shared" si="4"/>
        <v>624</v>
      </c>
      <c r="J10" s="14">
        <f t="shared" si="5"/>
        <v>16</v>
      </c>
      <c r="K10" s="19">
        <v>780</v>
      </c>
      <c r="L10" s="19">
        <v>1560</v>
      </c>
      <c r="M10" s="19">
        <v>624</v>
      </c>
      <c r="N10" s="19">
        <v>16</v>
      </c>
      <c r="O10" s="1" t="b">
        <f t="shared" si="6"/>
        <v>1</v>
      </c>
    </row>
    <row r="11" spans="1:15" x14ac:dyDescent="0.35">
      <c r="A11" s="1" t="s">
        <v>70</v>
      </c>
      <c r="B11" s="1">
        <v>2023</v>
      </c>
      <c r="C11" s="1" t="s">
        <v>124</v>
      </c>
      <c r="D11" s="14">
        <f>SUMIFS(Usage_Base!$C:$C,Usage_Base!$A:$A,A11,Usage_Base!$B:$B,B11)</f>
        <v>850</v>
      </c>
      <c r="E11" s="1" t="str">
        <f t="shared" si="0"/>
        <v>No</v>
      </c>
      <c r="F11" s="11">
        <f t="shared" si="1"/>
        <v>1</v>
      </c>
      <c r="G11" s="14">
        <f t="shared" si="2"/>
        <v>850</v>
      </c>
      <c r="H11" s="14">
        <f t="shared" si="3"/>
        <v>1700</v>
      </c>
      <c r="I11" s="14">
        <f t="shared" si="4"/>
        <v>680</v>
      </c>
      <c r="J11" s="14">
        <f t="shared" si="5"/>
        <v>17</v>
      </c>
      <c r="K11" s="19">
        <v>850</v>
      </c>
      <c r="L11" s="19">
        <v>1700</v>
      </c>
      <c r="M11" s="19">
        <v>680</v>
      </c>
      <c r="N11" s="19">
        <v>17</v>
      </c>
      <c r="O11" s="1" t="b">
        <f t="shared" si="6"/>
        <v>1</v>
      </c>
    </row>
    <row r="12" spans="1:15" x14ac:dyDescent="0.35">
      <c r="A12" s="1" t="s">
        <v>70</v>
      </c>
      <c r="B12" s="1">
        <v>2024</v>
      </c>
      <c r="C12" s="1" t="s">
        <v>124</v>
      </c>
      <c r="D12" s="14">
        <f>SUMIFS(Usage_Base!$C:$C,Usage_Base!$A:$A,A12,Usage_Base!$B:$B,B12)</f>
        <v>910</v>
      </c>
      <c r="E12" s="1" t="str">
        <f t="shared" si="0"/>
        <v>No</v>
      </c>
      <c r="F12" s="11">
        <f t="shared" si="1"/>
        <v>1</v>
      </c>
      <c r="G12" s="14">
        <f t="shared" si="2"/>
        <v>910</v>
      </c>
      <c r="H12" s="14">
        <f t="shared" si="3"/>
        <v>1820</v>
      </c>
      <c r="I12" s="14">
        <f t="shared" si="4"/>
        <v>728</v>
      </c>
      <c r="J12" s="14">
        <f t="shared" si="5"/>
        <v>18</v>
      </c>
      <c r="K12" s="19">
        <v>910</v>
      </c>
      <c r="L12" s="19">
        <v>1820</v>
      </c>
      <c r="M12" s="19">
        <v>728</v>
      </c>
      <c r="N12" s="19">
        <v>18</v>
      </c>
      <c r="O12" s="1" t="b">
        <f t="shared" si="6"/>
        <v>1</v>
      </c>
    </row>
    <row r="13" spans="1:15" x14ac:dyDescent="0.35">
      <c r="A13" s="1" t="s">
        <v>72</v>
      </c>
      <c r="B13" s="1">
        <v>2022</v>
      </c>
      <c r="C13" s="1" t="s">
        <v>124</v>
      </c>
      <c r="D13" s="14">
        <f>SUMIFS(Usage_Base!$C:$C,Usage_Base!$A:$A,A13,Usage_Base!$B:$B,B13)</f>
        <v>52800</v>
      </c>
      <c r="E13" s="1" t="str">
        <f t="shared" si="0"/>
        <v>No</v>
      </c>
      <c r="F13" s="11">
        <f t="shared" si="1"/>
        <v>1</v>
      </c>
      <c r="G13" s="14">
        <f t="shared" si="2"/>
        <v>52800</v>
      </c>
      <c r="H13" s="14">
        <f t="shared" si="3"/>
        <v>105600</v>
      </c>
      <c r="I13" s="14">
        <f t="shared" si="4"/>
        <v>42240</v>
      </c>
      <c r="J13" s="14">
        <f t="shared" si="5"/>
        <v>1056</v>
      </c>
      <c r="K13" s="19">
        <v>52800</v>
      </c>
      <c r="L13" s="19">
        <v>105600</v>
      </c>
      <c r="M13" s="19">
        <v>42240</v>
      </c>
      <c r="N13" s="19">
        <v>1056</v>
      </c>
      <c r="O13" s="1" t="b">
        <f t="shared" si="6"/>
        <v>1</v>
      </c>
    </row>
    <row r="14" spans="1:15" x14ac:dyDescent="0.35">
      <c r="A14" s="1" t="s">
        <v>72</v>
      </c>
      <c r="B14" s="1">
        <v>2023</v>
      </c>
      <c r="C14" s="1" t="s">
        <v>124</v>
      </c>
      <c r="D14" s="14">
        <f>SUMIFS(Usage_Base!$C:$C,Usage_Base!$A:$A,A14,Usage_Base!$B:$B,B14)</f>
        <v>54900</v>
      </c>
      <c r="E14" s="1" t="str">
        <f t="shared" si="0"/>
        <v>No</v>
      </c>
      <c r="F14" s="11">
        <f t="shared" si="1"/>
        <v>1</v>
      </c>
      <c r="G14" s="14">
        <f t="shared" si="2"/>
        <v>54900</v>
      </c>
      <c r="H14" s="14">
        <f t="shared" si="3"/>
        <v>109800</v>
      </c>
      <c r="I14" s="14">
        <f t="shared" si="4"/>
        <v>43920</v>
      </c>
      <c r="J14" s="14">
        <f t="shared" si="5"/>
        <v>1098</v>
      </c>
      <c r="K14" s="19">
        <v>54900</v>
      </c>
      <c r="L14" s="19">
        <v>109800</v>
      </c>
      <c r="M14" s="19">
        <v>43920</v>
      </c>
      <c r="N14" s="19">
        <v>1098</v>
      </c>
      <c r="O14" s="1" t="b">
        <f t="shared" si="6"/>
        <v>1</v>
      </c>
    </row>
    <row r="15" spans="1:15" x14ac:dyDescent="0.35">
      <c r="A15" s="1" t="s">
        <v>72</v>
      </c>
      <c r="B15" s="1">
        <v>2024</v>
      </c>
      <c r="C15" s="1" t="s">
        <v>124</v>
      </c>
      <c r="D15" s="14">
        <f>SUMIFS(Usage_Base!$C:$C,Usage_Base!$A:$A,A15,Usage_Base!$B:$B,B15)</f>
        <v>56400</v>
      </c>
      <c r="E15" s="1" t="str">
        <f t="shared" si="0"/>
        <v>No</v>
      </c>
      <c r="F15" s="11">
        <f t="shared" si="1"/>
        <v>1</v>
      </c>
      <c r="G15" s="14">
        <f t="shared" si="2"/>
        <v>56400</v>
      </c>
      <c r="H15" s="14">
        <f t="shared" si="3"/>
        <v>112800</v>
      </c>
      <c r="I15" s="14">
        <f t="shared" si="4"/>
        <v>45120</v>
      </c>
      <c r="J15" s="14">
        <f t="shared" si="5"/>
        <v>1128</v>
      </c>
      <c r="K15" s="19">
        <v>56400</v>
      </c>
      <c r="L15" s="19">
        <v>112800</v>
      </c>
      <c r="M15" s="19">
        <v>45120</v>
      </c>
      <c r="N15" s="19">
        <v>1128</v>
      </c>
      <c r="O15" s="1" t="b">
        <f t="shared" si="6"/>
        <v>1</v>
      </c>
    </row>
    <row r="16" spans="1:15" x14ac:dyDescent="0.35">
      <c r="A16" s="1" t="s">
        <v>52</v>
      </c>
      <c r="B16" s="1">
        <v>2022</v>
      </c>
      <c r="C16" s="1" t="s">
        <v>124</v>
      </c>
      <c r="D16" s="14">
        <f>SUMIFS(Usage_Base!$C:$C,Usage_Base!$A:$A,A16,Usage_Base!$B:$B,B16)</f>
        <v>52000</v>
      </c>
      <c r="E16" s="1" t="str">
        <f t="shared" si="0"/>
        <v>No</v>
      </c>
      <c r="F16" s="11">
        <f t="shared" si="1"/>
        <v>1</v>
      </c>
      <c r="G16" s="14">
        <f t="shared" si="2"/>
        <v>52000</v>
      </c>
      <c r="H16" s="14">
        <f t="shared" si="3"/>
        <v>104000</v>
      </c>
      <c r="I16" s="14">
        <f t="shared" si="4"/>
        <v>41600</v>
      </c>
      <c r="J16" s="14">
        <f t="shared" si="5"/>
        <v>1040</v>
      </c>
      <c r="K16" s="19">
        <v>52000</v>
      </c>
      <c r="L16" s="19">
        <v>104000</v>
      </c>
      <c r="M16" s="19">
        <v>41600</v>
      </c>
      <c r="N16" s="19">
        <v>1040</v>
      </c>
      <c r="O16" s="1" t="b">
        <f t="shared" si="6"/>
        <v>1</v>
      </c>
    </row>
    <row r="17" spans="1:15" x14ac:dyDescent="0.35">
      <c r="A17" s="1" t="s">
        <v>52</v>
      </c>
      <c r="B17" s="1">
        <v>2023</v>
      </c>
      <c r="C17" s="1" t="s">
        <v>124</v>
      </c>
      <c r="D17" s="14">
        <f>SUMIFS(Usage_Base!$C:$C,Usage_Base!$A:$A,A17,Usage_Base!$B:$B,B17)</f>
        <v>53100</v>
      </c>
      <c r="E17" s="1" t="str">
        <f t="shared" si="0"/>
        <v>Yes</v>
      </c>
      <c r="F17" s="11">
        <f t="shared" si="1"/>
        <v>0.75</v>
      </c>
      <c r="G17" s="14">
        <f t="shared" si="2"/>
        <v>39825</v>
      </c>
      <c r="H17" s="14">
        <f t="shared" si="3"/>
        <v>79650</v>
      </c>
      <c r="I17" s="14">
        <f t="shared" si="4"/>
        <v>31860</v>
      </c>
      <c r="J17" s="14">
        <f t="shared" si="5"/>
        <v>796</v>
      </c>
      <c r="K17" s="19">
        <v>39825</v>
      </c>
      <c r="L17" s="19">
        <v>79650</v>
      </c>
      <c r="M17" s="19">
        <v>31860</v>
      </c>
      <c r="N17" s="19">
        <v>796</v>
      </c>
      <c r="O17" s="1" t="b">
        <f t="shared" si="6"/>
        <v>1</v>
      </c>
    </row>
    <row r="18" spans="1:15" x14ac:dyDescent="0.35">
      <c r="A18" s="1" t="s">
        <v>52</v>
      </c>
      <c r="B18" s="1">
        <v>2023</v>
      </c>
      <c r="C18" s="1" t="s">
        <v>125</v>
      </c>
      <c r="D18" s="14">
        <f>SUMIFS(Usage_Base!$C:$C,Usage_Base!$A:$A,A18,Usage_Base!$B:$B,B18)</f>
        <v>53100</v>
      </c>
      <c r="E18" s="1" t="str">
        <f t="shared" si="0"/>
        <v>Yes</v>
      </c>
      <c r="F18" s="11">
        <f t="shared" si="1"/>
        <v>0.25</v>
      </c>
      <c r="G18" s="14">
        <f t="shared" si="2"/>
        <v>13275</v>
      </c>
      <c r="H18" s="14">
        <f t="shared" si="3"/>
        <v>26550</v>
      </c>
      <c r="I18" s="14">
        <f t="shared" si="4"/>
        <v>11284</v>
      </c>
      <c r="J18" s="14">
        <f t="shared" si="5"/>
        <v>0</v>
      </c>
      <c r="K18" s="19">
        <v>13275</v>
      </c>
      <c r="L18" s="19">
        <v>26550</v>
      </c>
      <c r="M18" s="19">
        <v>11284</v>
      </c>
      <c r="N18" s="19">
        <v>0</v>
      </c>
      <c r="O18" s="1" t="b">
        <f t="shared" si="6"/>
        <v>1</v>
      </c>
    </row>
    <row r="19" spans="1:15" x14ac:dyDescent="0.35">
      <c r="A19" s="1" t="s">
        <v>52</v>
      </c>
      <c r="B19" s="1">
        <v>2024</v>
      </c>
      <c r="C19" s="1" t="s">
        <v>124</v>
      </c>
      <c r="D19" s="14">
        <f>SUMIFS(Usage_Base!$C:$C,Usage_Base!$A:$A,A19,Usage_Base!$B:$B,B19)</f>
        <v>53900</v>
      </c>
      <c r="E19" s="1" t="str">
        <f t="shared" si="0"/>
        <v>Yes</v>
      </c>
      <c r="F19" s="11">
        <f t="shared" si="1"/>
        <v>0.75</v>
      </c>
      <c r="G19" s="14">
        <f t="shared" si="2"/>
        <v>40425</v>
      </c>
      <c r="H19" s="14">
        <f t="shared" si="3"/>
        <v>80850</v>
      </c>
      <c r="I19" s="14">
        <f t="shared" si="4"/>
        <v>32340</v>
      </c>
      <c r="J19" s="14">
        <f t="shared" si="5"/>
        <v>808</v>
      </c>
      <c r="K19" s="19">
        <v>40425</v>
      </c>
      <c r="L19" s="19">
        <v>80850</v>
      </c>
      <c r="M19" s="19">
        <v>32340</v>
      </c>
      <c r="N19" s="19">
        <v>808</v>
      </c>
      <c r="O19" s="1" t="b">
        <f t="shared" si="6"/>
        <v>1</v>
      </c>
    </row>
    <row r="20" spans="1:15" x14ac:dyDescent="0.35">
      <c r="A20" s="1" t="s">
        <v>52</v>
      </c>
      <c r="B20" s="1">
        <v>2024</v>
      </c>
      <c r="C20" s="1" t="s">
        <v>125</v>
      </c>
      <c r="D20" s="14">
        <f>SUMIFS(Usage_Base!$C:$C,Usage_Base!$A:$A,A20,Usage_Base!$B:$B,B20)</f>
        <v>53900</v>
      </c>
      <c r="E20" s="1" t="str">
        <f t="shared" si="0"/>
        <v>Yes</v>
      </c>
      <c r="F20" s="11">
        <f t="shared" si="1"/>
        <v>0.25</v>
      </c>
      <c r="G20" s="14">
        <f t="shared" si="2"/>
        <v>13475</v>
      </c>
      <c r="H20" s="14">
        <f t="shared" si="3"/>
        <v>26950</v>
      </c>
      <c r="I20" s="14">
        <f t="shared" si="4"/>
        <v>11454</v>
      </c>
      <c r="J20" s="14">
        <f t="shared" si="5"/>
        <v>0</v>
      </c>
      <c r="K20" s="19">
        <v>13475</v>
      </c>
      <c r="L20" s="19">
        <v>26950</v>
      </c>
      <c r="M20" s="19">
        <v>11454</v>
      </c>
      <c r="N20" s="19">
        <v>0</v>
      </c>
      <c r="O20" s="1" t="b">
        <f t="shared" si="6"/>
        <v>1</v>
      </c>
    </row>
    <row r="21" spans="1:15" x14ac:dyDescent="0.35">
      <c r="A21" s="1" t="s">
        <v>75</v>
      </c>
      <c r="B21" s="1">
        <v>2022</v>
      </c>
      <c r="C21" s="1" t="s">
        <v>124</v>
      </c>
      <c r="D21" s="14">
        <f>SUMIFS(Usage_Base!$C:$C,Usage_Base!$A:$A,A21,Usage_Base!$B:$B,B21)</f>
        <v>14800</v>
      </c>
      <c r="E21" s="1" t="str">
        <f t="shared" si="0"/>
        <v>No</v>
      </c>
      <c r="F21" s="11">
        <f t="shared" si="1"/>
        <v>1</v>
      </c>
      <c r="G21" s="14">
        <f t="shared" si="2"/>
        <v>14800</v>
      </c>
      <c r="H21" s="14">
        <f t="shared" si="3"/>
        <v>29600</v>
      </c>
      <c r="I21" s="14">
        <f t="shared" si="4"/>
        <v>11840</v>
      </c>
      <c r="J21" s="14">
        <f t="shared" si="5"/>
        <v>296</v>
      </c>
      <c r="K21" s="19">
        <v>14800</v>
      </c>
      <c r="L21" s="19">
        <v>29600</v>
      </c>
      <c r="M21" s="19">
        <v>11840</v>
      </c>
      <c r="N21" s="19">
        <v>296</v>
      </c>
      <c r="O21" s="1" t="b">
        <f t="shared" si="6"/>
        <v>1</v>
      </c>
    </row>
    <row r="22" spans="1:15" x14ac:dyDescent="0.35">
      <c r="A22" s="1" t="s">
        <v>75</v>
      </c>
      <c r="B22" s="1">
        <v>2023</v>
      </c>
      <c r="C22" s="1" t="s">
        <v>124</v>
      </c>
      <c r="D22" s="14">
        <f>SUMIFS(Usage_Base!$C:$C,Usage_Base!$A:$A,A22,Usage_Base!$B:$B,B22)</f>
        <v>14800</v>
      </c>
      <c r="E22" s="1" t="str">
        <f t="shared" si="0"/>
        <v>No</v>
      </c>
      <c r="F22" s="11">
        <f t="shared" si="1"/>
        <v>1</v>
      </c>
      <c r="G22" s="14">
        <f t="shared" si="2"/>
        <v>14800</v>
      </c>
      <c r="H22" s="14">
        <f t="shared" si="3"/>
        <v>29600</v>
      </c>
      <c r="I22" s="14">
        <f t="shared" si="4"/>
        <v>11840</v>
      </c>
      <c r="J22" s="14">
        <f t="shared" si="5"/>
        <v>296</v>
      </c>
      <c r="K22" s="19">
        <v>14800</v>
      </c>
      <c r="L22" s="19">
        <v>29600</v>
      </c>
      <c r="M22" s="19">
        <v>11840</v>
      </c>
      <c r="N22" s="19">
        <v>296</v>
      </c>
      <c r="O22" s="1" t="b">
        <f t="shared" si="6"/>
        <v>1</v>
      </c>
    </row>
    <row r="23" spans="1:15" x14ac:dyDescent="0.35">
      <c r="A23" s="1" t="s">
        <v>75</v>
      </c>
      <c r="B23" s="1">
        <v>2024</v>
      </c>
      <c r="C23" s="1" t="s">
        <v>124</v>
      </c>
      <c r="D23" s="14">
        <f>SUMIFS(Usage_Base!$C:$C,Usage_Base!$A:$A,A23,Usage_Base!$B:$B,B23)</f>
        <v>14800</v>
      </c>
      <c r="E23" s="1" t="str">
        <f t="shared" si="0"/>
        <v>No</v>
      </c>
      <c r="F23" s="11">
        <f t="shared" si="1"/>
        <v>1</v>
      </c>
      <c r="G23" s="14">
        <f t="shared" si="2"/>
        <v>14800</v>
      </c>
      <c r="H23" s="14">
        <f t="shared" si="3"/>
        <v>29600</v>
      </c>
      <c r="I23" s="14">
        <f t="shared" si="4"/>
        <v>11840</v>
      </c>
      <c r="J23" s="14">
        <f t="shared" si="5"/>
        <v>296</v>
      </c>
      <c r="K23" s="19">
        <v>14800</v>
      </c>
      <c r="L23" s="19">
        <v>29600</v>
      </c>
      <c r="M23" s="19">
        <v>11840</v>
      </c>
      <c r="N23" s="19">
        <v>296</v>
      </c>
      <c r="O23" s="1" t="b">
        <f t="shared" si="6"/>
        <v>1</v>
      </c>
    </row>
    <row r="24" spans="1:15" x14ac:dyDescent="0.35">
      <c r="A24" s="1" t="s">
        <v>37</v>
      </c>
      <c r="B24" s="1">
        <v>2022</v>
      </c>
      <c r="C24" s="1" t="s">
        <v>124</v>
      </c>
      <c r="D24" s="14">
        <f>SUMIFS(Usage_Base!$C:$C,Usage_Base!$A:$A,A24,Usage_Base!$B:$B,B24)</f>
        <v>4400</v>
      </c>
      <c r="E24" s="1" t="str">
        <f t="shared" si="0"/>
        <v>No</v>
      </c>
      <c r="F24" s="11">
        <f t="shared" si="1"/>
        <v>1</v>
      </c>
      <c r="G24" s="14">
        <f t="shared" si="2"/>
        <v>4400</v>
      </c>
      <c r="H24" s="14">
        <f t="shared" si="3"/>
        <v>8800</v>
      </c>
      <c r="I24" s="14">
        <f t="shared" si="4"/>
        <v>3520</v>
      </c>
      <c r="J24" s="14">
        <f t="shared" si="5"/>
        <v>88</v>
      </c>
      <c r="K24" s="19">
        <v>4400</v>
      </c>
      <c r="L24" s="19">
        <v>8800</v>
      </c>
      <c r="M24" s="19">
        <v>3520</v>
      </c>
      <c r="N24" s="19">
        <v>88</v>
      </c>
      <c r="O24" s="1" t="b">
        <f t="shared" si="6"/>
        <v>1</v>
      </c>
    </row>
    <row r="25" spans="1:15" x14ac:dyDescent="0.35">
      <c r="A25" s="1" t="s">
        <v>37</v>
      </c>
      <c r="B25" s="1">
        <v>2023</v>
      </c>
      <c r="C25" s="1" t="s">
        <v>124</v>
      </c>
      <c r="D25" s="14">
        <f>SUMIFS(Usage_Base!$C:$C,Usage_Base!$A:$A,A25,Usage_Base!$B:$B,B25)</f>
        <v>4530</v>
      </c>
      <c r="E25" s="1" t="str">
        <f t="shared" si="0"/>
        <v>No</v>
      </c>
      <c r="F25" s="11">
        <f t="shared" si="1"/>
        <v>1</v>
      </c>
      <c r="G25" s="14">
        <f t="shared" si="2"/>
        <v>4530</v>
      </c>
      <c r="H25" s="14">
        <f t="shared" si="3"/>
        <v>9060</v>
      </c>
      <c r="I25" s="14">
        <f t="shared" si="4"/>
        <v>3624</v>
      </c>
      <c r="J25" s="14">
        <f t="shared" si="5"/>
        <v>91</v>
      </c>
      <c r="K25" s="19">
        <v>4530</v>
      </c>
      <c r="L25" s="19">
        <v>9060</v>
      </c>
      <c r="M25" s="19">
        <v>3624</v>
      </c>
      <c r="N25" s="19">
        <v>91</v>
      </c>
      <c r="O25" s="1" t="b">
        <f t="shared" si="6"/>
        <v>1</v>
      </c>
    </row>
    <row r="26" spans="1:15" x14ac:dyDescent="0.35">
      <c r="A26" s="1" t="s">
        <v>37</v>
      </c>
      <c r="B26" s="1">
        <v>2024</v>
      </c>
      <c r="C26" s="1" t="s">
        <v>124</v>
      </c>
      <c r="D26" s="14">
        <f>SUMIFS(Usage_Base!$C:$C,Usage_Base!$A:$A,A26,Usage_Base!$B:$B,B26)</f>
        <v>4650</v>
      </c>
      <c r="E26" s="1" t="str">
        <f t="shared" si="0"/>
        <v>No</v>
      </c>
      <c r="F26" s="11">
        <f t="shared" si="1"/>
        <v>1</v>
      </c>
      <c r="G26" s="14">
        <f t="shared" si="2"/>
        <v>4650</v>
      </c>
      <c r="H26" s="14">
        <f t="shared" si="3"/>
        <v>9300</v>
      </c>
      <c r="I26" s="14">
        <f t="shared" si="4"/>
        <v>3720</v>
      </c>
      <c r="J26" s="14">
        <f t="shared" si="5"/>
        <v>93</v>
      </c>
      <c r="K26" s="19">
        <v>4650</v>
      </c>
      <c r="L26" s="19">
        <v>9300</v>
      </c>
      <c r="M26" s="19">
        <v>3720</v>
      </c>
      <c r="N26" s="19">
        <v>93</v>
      </c>
      <c r="O26" s="1" t="b">
        <f t="shared" si="6"/>
        <v>1</v>
      </c>
    </row>
    <row r="27" spans="1:15" x14ac:dyDescent="0.35">
      <c r="A27" s="1" t="s">
        <v>39</v>
      </c>
      <c r="B27" s="1">
        <v>2022</v>
      </c>
      <c r="C27" s="1" t="s">
        <v>124</v>
      </c>
      <c r="D27" s="14">
        <f>SUMIFS(Usage_Base!$C:$C,Usage_Base!$A:$A,A27,Usage_Base!$B:$B,B27)</f>
        <v>1580</v>
      </c>
      <c r="E27" s="1" t="str">
        <f t="shared" si="0"/>
        <v>No</v>
      </c>
      <c r="F27" s="11">
        <f t="shared" si="1"/>
        <v>1</v>
      </c>
      <c r="G27" s="14">
        <f t="shared" si="2"/>
        <v>1580</v>
      </c>
      <c r="H27" s="14">
        <f t="shared" si="3"/>
        <v>3160</v>
      </c>
      <c r="I27" s="14">
        <f t="shared" si="4"/>
        <v>1264</v>
      </c>
      <c r="J27" s="14">
        <f t="shared" si="5"/>
        <v>32</v>
      </c>
      <c r="K27" s="19">
        <v>1580</v>
      </c>
      <c r="L27" s="19">
        <v>3160</v>
      </c>
      <c r="M27" s="19">
        <v>1264</v>
      </c>
      <c r="N27" s="19">
        <v>32</v>
      </c>
      <c r="O27" s="1" t="b">
        <f t="shared" si="6"/>
        <v>1</v>
      </c>
    </row>
    <row r="28" spans="1:15" x14ac:dyDescent="0.35">
      <c r="A28" s="1" t="s">
        <v>39</v>
      </c>
      <c r="B28" s="1">
        <v>2023</v>
      </c>
      <c r="C28" s="1" t="s">
        <v>124</v>
      </c>
      <c r="D28" s="14">
        <f>SUMIFS(Usage_Base!$C:$C,Usage_Base!$A:$A,A28,Usage_Base!$B:$B,B28)</f>
        <v>1650</v>
      </c>
      <c r="E28" s="1" t="str">
        <f t="shared" si="0"/>
        <v>Yes</v>
      </c>
      <c r="F28" s="11">
        <f t="shared" si="1"/>
        <v>0.75</v>
      </c>
      <c r="G28" s="14">
        <f t="shared" si="2"/>
        <v>1238</v>
      </c>
      <c r="H28" s="14">
        <f t="shared" si="3"/>
        <v>2476</v>
      </c>
      <c r="I28" s="14">
        <f t="shared" si="4"/>
        <v>990</v>
      </c>
      <c r="J28" s="14">
        <f t="shared" si="5"/>
        <v>25</v>
      </c>
      <c r="K28" s="19">
        <v>1238</v>
      </c>
      <c r="L28" s="19">
        <v>2476</v>
      </c>
      <c r="M28" s="19">
        <v>990</v>
      </c>
      <c r="N28" s="19">
        <v>25</v>
      </c>
      <c r="O28" s="1" t="b">
        <f t="shared" si="6"/>
        <v>1</v>
      </c>
    </row>
    <row r="29" spans="1:15" x14ac:dyDescent="0.35">
      <c r="A29" s="1" t="s">
        <v>39</v>
      </c>
      <c r="B29" s="1">
        <v>2023</v>
      </c>
      <c r="C29" s="1" t="s">
        <v>125</v>
      </c>
      <c r="D29" s="14">
        <f>SUMIFS(Usage_Base!$C:$C,Usage_Base!$A:$A,A29,Usage_Base!$B:$B,B29)</f>
        <v>1650</v>
      </c>
      <c r="E29" s="1" t="str">
        <f t="shared" si="0"/>
        <v>Yes</v>
      </c>
      <c r="F29" s="11">
        <f t="shared" si="1"/>
        <v>0.25</v>
      </c>
      <c r="G29" s="14">
        <f t="shared" si="2"/>
        <v>412</v>
      </c>
      <c r="H29" s="14">
        <f t="shared" si="3"/>
        <v>824</v>
      </c>
      <c r="I29" s="14">
        <f t="shared" si="4"/>
        <v>350</v>
      </c>
      <c r="J29" s="14">
        <f t="shared" si="5"/>
        <v>0</v>
      </c>
      <c r="K29" s="19">
        <v>412</v>
      </c>
      <c r="L29" s="19">
        <v>824</v>
      </c>
      <c r="M29" s="19">
        <v>350</v>
      </c>
      <c r="N29" s="19">
        <v>0</v>
      </c>
      <c r="O29" s="1" t="b">
        <f t="shared" si="6"/>
        <v>1</v>
      </c>
    </row>
    <row r="30" spans="1:15" x14ac:dyDescent="0.35">
      <c r="A30" s="1" t="s">
        <v>39</v>
      </c>
      <c r="B30" s="1">
        <v>2024</v>
      </c>
      <c r="C30" s="1" t="s">
        <v>124</v>
      </c>
      <c r="D30" s="14">
        <f>SUMIFS(Usage_Base!$C:$C,Usage_Base!$A:$A,A30,Usage_Base!$B:$B,B30)</f>
        <v>1700</v>
      </c>
      <c r="E30" s="1" t="str">
        <f t="shared" si="0"/>
        <v>Yes</v>
      </c>
      <c r="F30" s="11">
        <f t="shared" si="1"/>
        <v>0.75</v>
      </c>
      <c r="G30" s="14">
        <f t="shared" si="2"/>
        <v>1275</v>
      </c>
      <c r="H30" s="14">
        <f t="shared" si="3"/>
        <v>2550</v>
      </c>
      <c r="I30" s="14">
        <f t="shared" si="4"/>
        <v>1020</v>
      </c>
      <c r="J30" s="14">
        <f t="shared" si="5"/>
        <v>26</v>
      </c>
      <c r="K30" s="19">
        <v>1275</v>
      </c>
      <c r="L30" s="19">
        <v>2550</v>
      </c>
      <c r="M30" s="19">
        <v>1020</v>
      </c>
      <c r="N30" s="19">
        <v>26</v>
      </c>
      <c r="O30" s="1" t="b">
        <f t="shared" si="6"/>
        <v>1</v>
      </c>
    </row>
    <row r="31" spans="1:15" x14ac:dyDescent="0.35">
      <c r="A31" s="1" t="s">
        <v>39</v>
      </c>
      <c r="B31" s="1">
        <v>2024</v>
      </c>
      <c r="C31" s="1" t="s">
        <v>125</v>
      </c>
      <c r="D31" s="14">
        <f>SUMIFS(Usage_Base!$C:$C,Usage_Base!$A:$A,A31,Usage_Base!$B:$B,B31)</f>
        <v>1700</v>
      </c>
      <c r="E31" s="1" t="str">
        <f t="shared" si="0"/>
        <v>Yes</v>
      </c>
      <c r="F31" s="11">
        <f t="shared" si="1"/>
        <v>0.25</v>
      </c>
      <c r="G31" s="14">
        <f t="shared" si="2"/>
        <v>425</v>
      </c>
      <c r="H31" s="14">
        <f t="shared" si="3"/>
        <v>850</v>
      </c>
      <c r="I31" s="14">
        <f t="shared" si="4"/>
        <v>361</v>
      </c>
      <c r="J31" s="14">
        <f t="shared" si="5"/>
        <v>0</v>
      </c>
      <c r="K31" s="19">
        <v>425</v>
      </c>
      <c r="L31" s="19">
        <v>850</v>
      </c>
      <c r="M31" s="19">
        <v>361</v>
      </c>
      <c r="N31" s="19">
        <v>0</v>
      </c>
      <c r="O31" s="1" t="b">
        <f t="shared" si="6"/>
        <v>1</v>
      </c>
    </row>
    <row r="32" spans="1:15" x14ac:dyDescent="0.35">
      <c r="A32" s="1" t="s">
        <v>80</v>
      </c>
      <c r="B32" s="1">
        <v>2022</v>
      </c>
      <c r="C32" s="1" t="s">
        <v>124</v>
      </c>
      <c r="D32" s="14">
        <f>SUMIFS(Usage_Base!$C:$C,Usage_Base!$A:$A,A32,Usage_Base!$B:$B,B32)</f>
        <v>540</v>
      </c>
      <c r="E32" s="1" t="str">
        <f t="shared" si="0"/>
        <v>No</v>
      </c>
      <c r="F32" s="11">
        <f t="shared" si="1"/>
        <v>1</v>
      </c>
      <c r="G32" s="14">
        <f t="shared" si="2"/>
        <v>540</v>
      </c>
      <c r="H32" s="14">
        <f t="shared" si="3"/>
        <v>1080</v>
      </c>
      <c r="I32" s="14">
        <f t="shared" si="4"/>
        <v>432</v>
      </c>
      <c r="J32" s="14">
        <f t="shared" si="5"/>
        <v>11</v>
      </c>
      <c r="K32" s="19">
        <v>540</v>
      </c>
      <c r="L32" s="19">
        <v>1080</v>
      </c>
      <c r="M32" s="19">
        <v>432</v>
      </c>
      <c r="N32" s="19">
        <v>11</v>
      </c>
      <c r="O32" s="1" t="b">
        <f t="shared" si="6"/>
        <v>1</v>
      </c>
    </row>
    <row r="33" spans="1:15" x14ac:dyDescent="0.35">
      <c r="A33" s="1" t="s">
        <v>80</v>
      </c>
      <c r="B33" s="1">
        <v>2023</v>
      </c>
      <c r="C33" s="1" t="s">
        <v>124</v>
      </c>
      <c r="D33" s="14">
        <f>SUMIFS(Usage_Base!$C:$C,Usage_Base!$A:$A,A33,Usage_Base!$B:$B,B33)</f>
        <v>570</v>
      </c>
      <c r="E33" s="1" t="str">
        <f t="shared" si="0"/>
        <v>No</v>
      </c>
      <c r="F33" s="11">
        <f t="shared" si="1"/>
        <v>1</v>
      </c>
      <c r="G33" s="14">
        <f t="shared" si="2"/>
        <v>570</v>
      </c>
      <c r="H33" s="14">
        <f t="shared" si="3"/>
        <v>1140</v>
      </c>
      <c r="I33" s="14">
        <f t="shared" si="4"/>
        <v>456</v>
      </c>
      <c r="J33" s="14">
        <f t="shared" si="5"/>
        <v>11</v>
      </c>
      <c r="K33" s="19">
        <v>570</v>
      </c>
      <c r="L33" s="19">
        <v>1140</v>
      </c>
      <c r="M33" s="19">
        <v>456</v>
      </c>
      <c r="N33" s="19">
        <v>11</v>
      </c>
      <c r="O33" s="1" t="b">
        <f t="shared" si="6"/>
        <v>1</v>
      </c>
    </row>
    <row r="34" spans="1:15" x14ac:dyDescent="0.35">
      <c r="A34" s="1" t="s">
        <v>80</v>
      </c>
      <c r="B34" s="1">
        <v>2024</v>
      </c>
      <c r="C34" s="1" t="s">
        <v>124</v>
      </c>
      <c r="D34" s="14">
        <f>SUMIFS(Usage_Base!$C:$C,Usage_Base!$A:$A,A34,Usage_Base!$B:$B,B34)</f>
        <v>590</v>
      </c>
      <c r="E34" s="1" t="str">
        <f t="shared" si="0"/>
        <v>No</v>
      </c>
      <c r="F34" s="11">
        <f t="shared" si="1"/>
        <v>1</v>
      </c>
      <c r="G34" s="14">
        <f t="shared" si="2"/>
        <v>590</v>
      </c>
      <c r="H34" s="14">
        <f t="shared" si="3"/>
        <v>1180</v>
      </c>
      <c r="I34" s="14">
        <f t="shared" si="4"/>
        <v>472</v>
      </c>
      <c r="J34" s="14">
        <f t="shared" si="5"/>
        <v>12</v>
      </c>
      <c r="K34" s="19">
        <v>590</v>
      </c>
      <c r="L34" s="19">
        <v>1180</v>
      </c>
      <c r="M34" s="19">
        <v>472</v>
      </c>
      <c r="N34" s="19">
        <v>12</v>
      </c>
      <c r="O34" s="1" t="b">
        <f t="shared" si="6"/>
        <v>1</v>
      </c>
    </row>
    <row r="35" spans="1:15" x14ac:dyDescent="0.35">
      <c r="A35" s="1" t="s">
        <v>41</v>
      </c>
      <c r="B35" s="1">
        <v>2022</v>
      </c>
      <c r="C35" s="1" t="s">
        <v>124</v>
      </c>
      <c r="D35" s="14">
        <f>SUMIFS(Usage_Base!$C:$C,Usage_Base!$A:$A,A35,Usage_Base!$B:$B,B35)</f>
        <v>1750</v>
      </c>
      <c r="E35" s="1" t="str">
        <f t="shared" si="0"/>
        <v>No</v>
      </c>
      <c r="F35" s="11">
        <f t="shared" si="1"/>
        <v>1</v>
      </c>
      <c r="G35" s="14">
        <f t="shared" si="2"/>
        <v>1750</v>
      </c>
      <c r="H35" s="14">
        <f t="shared" si="3"/>
        <v>3500</v>
      </c>
      <c r="I35" s="14">
        <f t="shared" si="4"/>
        <v>1400</v>
      </c>
      <c r="J35" s="14">
        <f t="shared" si="5"/>
        <v>35</v>
      </c>
      <c r="K35" s="19">
        <v>1750</v>
      </c>
      <c r="L35" s="19">
        <v>3500</v>
      </c>
      <c r="M35" s="19">
        <v>1400</v>
      </c>
      <c r="N35" s="19">
        <v>35</v>
      </c>
      <c r="O35" s="1" t="b">
        <f t="shared" si="6"/>
        <v>1</v>
      </c>
    </row>
    <row r="36" spans="1:15" x14ac:dyDescent="0.35">
      <c r="A36" s="1" t="s">
        <v>41</v>
      </c>
      <c r="B36" s="1">
        <v>2023</v>
      </c>
      <c r="C36" s="1" t="s">
        <v>124</v>
      </c>
      <c r="D36" s="14">
        <f>SUMIFS(Usage_Base!$C:$C,Usage_Base!$A:$A,A36,Usage_Base!$B:$B,B36)</f>
        <v>1810</v>
      </c>
      <c r="E36" s="1" t="str">
        <f t="shared" si="0"/>
        <v>No</v>
      </c>
      <c r="F36" s="11">
        <f t="shared" si="1"/>
        <v>1</v>
      </c>
      <c r="G36" s="14">
        <f t="shared" si="2"/>
        <v>1810</v>
      </c>
      <c r="H36" s="14">
        <f t="shared" si="3"/>
        <v>3620</v>
      </c>
      <c r="I36" s="14">
        <f t="shared" si="4"/>
        <v>1448</v>
      </c>
      <c r="J36" s="14">
        <f t="shared" si="5"/>
        <v>36</v>
      </c>
      <c r="K36" s="19">
        <v>1810</v>
      </c>
      <c r="L36" s="19">
        <v>3620</v>
      </c>
      <c r="M36" s="19">
        <v>1448</v>
      </c>
      <c r="N36" s="19">
        <v>36</v>
      </c>
      <c r="O36" s="1" t="b">
        <f t="shared" si="6"/>
        <v>1</v>
      </c>
    </row>
    <row r="37" spans="1:15" x14ac:dyDescent="0.35">
      <c r="A37" s="1" t="s">
        <v>41</v>
      </c>
      <c r="B37" s="1">
        <v>2024</v>
      </c>
      <c r="C37" s="1" t="s">
        <v>124</v>
      </c>
      <c r="D37" s="14">
        <f>SUMIFS(Usage_Base!$C:$C,Usage_Base!$A:$A,A37,Usage_Base!$B:$B,B37)</f>
        <v>1840</v>
      </c>
      <c r="E37" s="1" t="str">
        <f t="shared" si="0"/>
        <v>No</v>
      </c>
      <c r="F37" s="11">
        <f t="shared" si="1"/>
        <v>1</v>
      </c>
      <c r="G37" s="14">
        <f t="shared" si="2"/>
        <v>1840</v>
      </c>
      <c r="H37" s="14">
        <f t="shared" si="3"/>
        <v>3680</v>
      </c>
      <c r="I37" s="14">
        <f t="shared" si="4"/>
        <v>1472</v>
      </c>
      <c r="J37" s="14">
        <f t="shared" si="5"/>
        <v>37</v>
      </c>
      <c r="K37" s="19">
        <v>1840</v>
      </c>
      <c r="L37" s="19">
        <v>3680</v>
      </c>
      <c r="M37" s="19">
        <v>1472</v>
      </c>
      <c r="N37" s="19">
        <v>37</v>
      </c>
      <c r="O37" s="1" t="b">
        <f t="shared" si="6"/>
        <v>1</v>
      </c>
    </row>
    <row r="38" spans="1:15" x14ac:dyDescent="0.35">
      <c r="A38" s="1" t="s">
        <v>84</v>
      </c>
      <c r="B38" s="1">
        <v>2022</v>
      </c>
      <c r="C38" s="1" t="s">
        <v>125</v>
      </c>
      <c r="D38" s="14">
        <f>SUMIFS(Usage_Base!$C:$C,Usage_Base!$A:$A,A38,Usage_Base!$B:$B,B38)</f>
        <v>4800</v>
      </c>
      <c r="E38" s="1" t="str">
        <f t="shared" si="0"/>
        <v>No</v>
      </c>
      <c r="F38" s="11">
        <f t="shared" si="1"/>
        <v>1</v>
      </c>
      <c r="G38" s="14">
        <f t="shared" si="2"/>
        <v>4800</v>
      </c>
      <c r="H38" s="14">
        <f t="shared" si="3"/>
        <v>9600</v>
      </c>
      <c r="I38" s="14">
        <f t="shared" si="4"/>
        <v>4080</v>
      </c>
      <c r="J38" s="14">
        <f t="shared" si="5"/>
        <v>0</v>
      </c>
      <c r="K38" s="19">
        <v>4800</v>
      </c>
      <c r="L38" s="19">
        <v>9600</v>
      </c>
      <c r="M38" s="19">
        <v>4080</v>
      </c>
      <c r="N38" s="19">
        <v>0</v>
      </c>
      <c r="O38" s="1" t="b">
        <f t="shared" si="6"/>
        <v>1</v>
      </c>
    </row>
    <row r="39" spans="1:15" x14ac:dyDescent="0.35">
      <c r="A39" s="1" t="s">
        <v>84</v>
      </c>
      <c r="B39" s="1">
        <v>2023</v>
      </c>
      <c r="C39" s="1" t="s">
        <v>125</v>
      </c>
      <c r="D39" s="14">
        <f>SUMIFS(Usage_Base!$C:$C,Usage_Base!$A:$A,A39,Usage_Base!$B:$B,B39)</f>
        <v>4950</v>
      </c>
      <c r="E39" s="1" t="str">
        <f t="shared" si="0"/>
        <v>No</v>
      </c>
      <c r="F39" s="11">
        <f t="shared" si="1"/>
        <v>1</v>
      </c>
      <c r="G39" s="14">
        <f t="shared" si="2"/>
        <v>4950</v>
      </c>
      <c r="H39" s="14">
        <f t="shared" si="3"/>
        <v>9900</v>
      </c>
      <c r="I39" s="14">
        <f t="shared" si="4"/>
        <v>4208</v>
      </c>
      <c r="J39" s="14">
        <f t="shared" si="5"/>
        <v>0</v>
      </c>
      <c r="K39" s="19">
        <v>4950</v>
      </c>
      <c r="L39" s="19">
        <v>9900</v>
      </c>
      <c r="M39" s="19">
        <v>4208</v>
      </c>
      <c r="N39" s="19">
        <v>0</v>
      </c>
      <c r="O39" s="1" t="b">
        <f t="shared" si="6"/>
        <v>1</v>
      </c>
    </row>
    <row r="40" spans="1:15" x14ac:dyDescent="0.35">
      <c r="A40" s="1" t="s">
        <v>84</v>
      </c>
      <c r="B40" s="1">
        <v>2024</v>
      </c>
      <c r="C40" s="1" t="s">
        <v>125</v>
      </c>
      <c r="D40" s="14">
        <f>SUMIFS(Usage_Base!$C:$C,Usage_Base!$A:$A,A40,Usage_Base!$B:$B,B40)</f>
        <v>5100</v>
      </c>
      <c r="E40" s="1" t="str">
        <f t="shared" si="0"/>
        <v>No</v>
      </c>
      <c r="F40" s="11">
        <f t="shared" si="1"/>
        <v>1</v>
      </c>
      <c r="G40" s="14">
        <f t="shared" si="2"/>
        <v>5100</v>
      </c>
      <c r="H40" s="14">
        <f t="shared" si="3"/>
        <v>10200</v>
      </c>
      <c r="I40" s="14">
        <f t="shared" si="4"/>
        <v>4335</v>
      </c>
      <c r="J40" s="14">
        <f t="shared" si="5"/>
        <v>0</v>
      </c>
      <c r="K40" s="19">
        <v>5100</v>
      </c>
      <c r="L40" s="19">
        <v>10200</v>
      </c>
      <c r="M40" s="19">
        <v>4335</v>
      </c>
      <c r="N40" s="19">
        <v>0</v>
      </c>
      <c r="O40" s="1" t="b">
        <f t="shared" si="6"/>
        <v>1</v>
      </c>
    </row>
    <row r="41" spans="1:15" x14ac:dyDescent="0.35">
      <c r="A41" s="1" t="s">
        <v>87</v>
      </c>
      <c r="B41" s="1">
        <v>2022</v>
      </c>
      <c r="C41" s="1" t="s">
        <v>124</v>
      </c>
      <c r="D41" s="14">
        <f>SUMIFS(Usage_Base!$C:$C,Usage_Base!$A:$A,A41,Usage_Base!$B:$B,B41)</f>
        <v>570</v>
      </c>
      <c r="E41" s="1" t="str">
        <f t="shared" si="0"/>
        <v>No</v>
      </c>
      <c r="F41" s="11">
        <f t="shared" si="1"/>
        <v>1</v>
      </c>
      <c r="G41" s="14">
        <f t="shared" si="2"/>
        <v>570</v>
      </c>
      <c r="H41" s="14">
        <f t="shared" si="3"/>
        <v>1140</v>
      </c>
      <c r="I41" s="14">
        <f t="shared" si="4"/>
        <v>456</v>
      </c>
      <c r="J41" s="14">
        <f t="shared" si="5"/>
        <v>11</v>
      </c>
      <c r="K41" s="19">
        <v>570</v>
      </c>
      <c r="L41" s="19">
        <v>1140</v>
      </c>
      <c r="M41" s="19">
        <v>456</v>
      </c>
      <c r="N41" s="19">
        <v>11</v>
      </c>
      <c r="O41" s="1" t="b">
        <f t="shared" si="6"/>
        <v>1</v>
      </c>
    </row>
    <row r="42" spans="1:15" x14ac:dyDescent="0.35">
      <c r="A42" s="1" t="s">
        <v>87</v>
      </c>
      <c r="B42" s="1">
        <v>2023</v>
      </c>
      <c r="C42" s="1" t="s">
        <v>124</v>
      </c>
      <c r="D42" s="14">
        <f>SUMIFS(Usage_Base!$C:$C,Usage_Base!$A:$A,A42,Usage_Base!$B:$B,B42)</f>
        <v>400</v>
      </c>
      <c r="E42" s="1" t="str">
        <f t="shared" si="0"/>
        <v>No</v>
      </c>
      <c r="F42" s="11">
        <f t="shared" si="1"/>
        <v>1</v>
      </c>
      <c r="G42" s="14">
        <f t="shared" si="2"/>
        <v>400</v>
      </c>
      <c r="H42" s="14">
        <f t="shared" si="3"/>
        <v>800</v>
      </c>
      <c r="I42" s="14">
        <f t="shared" si="4"/>
        <v>320</v>
      </c>
      <c r="J42" s="14">
        <f t="shared" si="5"/>
        <v>8</v>
      </c>
      <c r="K42" s="19">
        <v>400</v>
      </c>
      <c r="L42" s="19">
        <v>800</v>
      </c>
      <c r="M42" s="19">
        <v>320</v>
      </c>
      <c r="N42" s="19">
        <v>8</v>
      </c>
      <c r="O42" s="1" t="b">
        <f t="shared" si="6"/>
        <v>1</v>
      </c>
    </row>
    <row r="43" spans="1:15" x14ac:dyDescent="0.35">
      <c r="A43" s="1" t="s">
        <v>87</v>
      </c>
      <c r="B43" s="1">
        <v>2024</v>
      </c>
      <c r="C43" s="1" t="s">
        <v>124</v>
      </c>
      <c r="D43" s="14">
        <f>SUMIFS(Usage_Base!$C:$C,Usage_Base!$A:$A,A43,Usage_Base!$B:$B,B43)</f>
        <v>230</v>
      </c>
      <c r="E43" s="1" t="str">
        <f t="shared" si="0"/>
        <v>No</v>
      </c>
      <c r="F43" s="11">
        <f t="shared" si="1"/>
        <v>1</v>
      </c>
      <c r="G43" s="14">
        <f t="shared" si="2"/>
        <v>230</v>
      </c>
      <c r="H43" s="14">
        <f t="shared" si="3"/>
        <v>460</v>
      </c>
      <c r="I43" s="14">
        <f t="shared" si="4"/>
        <v>184</v>
      </c>
      <c r="J43" s="14">
        <f t="shared" si="5"/>
        <v>5</v>
      </c>
      <c r="K43" s="19">
        <v>230</v>
      </c>
      <c r="L43" s="19">
        <v>460</v>
      </c>
      <c r="M43" s="19">
        <v>184</v>
      </c>
      <c r="N43" s="19">
        <v>5</v>
      </c>
      <c r="O43" s="1" t="b">
        <f t="shared" si="6"/>
        <v>1</v>
      </c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2B557-8EEA-402B-8AD9-8CAD7FB89B4B}">
  <dimension ref="A1:J147"/>
  <sheetViews>
    <sheetView workbookViewId="0">
      <pane ySplit="3" topLeftCell="A124" activePane="bottomLeft" state="frozenSplit"/>
      <selection pane="bottomLeft" activeCell="O12" sqref="O12"/>
    </sheetView>
  </sheetViews>
  <sheetFormatPr defaultRowHeight="12.75" x14ac:dyDescent="0.35"/>
  <cols>
    <col min="1" max="1" width="16.5625" style="1" customWidth="1"/>
    <col min="2" max="9" width="14.5625" style="1" customWidth="1"/>
    <col min="10" max="10" width="8.5625" style="1" customWidth="1"/>
    <col min="11" max="16384" width="9" style="1"/>
  </cols>
  <sheetData>
    <row r="1" spans="1:10" ht="16.899999999999999" x14ac:dyDescent="0.35">
      <c r="A1" s="2" t="s">
        <v>126</v>
      </c>
    </row>
    <row r="2" spans="1:10" x14ac:dyDescent="0.35">
      <c r="A2" s="3" t="s">
        <v>127</v>
      </c>
    </row>
    <row r="3" spans="1:10" ht="39.4" x14ac:dyDescent="0.35">
      <c r="A3" s="5" t="s">
        <v>50</v>
      </c>
      <c r="B3" s="5" t="s">
        <v>128</v>
      </c>
      <c r="C3" s="5" t="s">
        <v>106</v>
      </c>
      <c r="D3" s="5" t="s">
        <v>129</v>
      </c>
      <c r="E3" s="5" t="s">
        <v>130</v>
      </c>
      <c r="F3" s="5" t="s">
        <v>131</v>
      </c>
      <c r="G3" s="5" t="s">
        <v>132</v>
      </c>
      <c r="H3" s="5" t="s">
        <v>133</v>
      </c>
      <c r="I3" s="5" t="s">
        <v>134</v>
      </c>
      <c r="J3" s="5" t="s">
        <v>66</v>
      </c>
    </row>
    <row r="4" spans="1:10" x14ac:dyDescent="0.35">
      <c r="A4" s="1" t="s">
        <v>34</v>
      </c>
      <c r="B4" s="1" t="s">
        <v>26</v>
      </c>
      <c r="C4" s="1">
        <v>2022</v>
      </c>
      <c r="D4" s="14">
        <f>SUMIFS(Usage_Base!$C:$C,Usage_Base!$A:$A,A4,Usage_Base!$B:$B,C4)</f>
        <v>15200</v>
      </c>
      <c r="E4" s="1" t="str">
        <f>IF(COUNTIF(Assumptions!$A$18:$A$22,A4)&gt;0,A4,"BASELINE")</f>
        <v>SCOPUS</v>
      </c>
      <c r="F4" s="11">
        <f>INDEX(Assumptions!$B$17:$E$22,MATCH(E4,Assumptions!$A$17:$A$22,0),MATCH(B4,Assumptions!$B$16:$E$16,0))</f>
        <v>0.72</v>
      </c>
      <c r="G4" s="14">
        <f t="shared" ref="G4:G35" si="0">IF(ROUND(MOD(D4*F4,1),9)=0.5,2*ROUND((D4*F4)/2,0),ROUND(D4*F4,0))</f>
        <v>10944</v>
      </c>
      <c r="H4" s="14">
        <f t="shared" ref="H4:H35" si="1">IF(B4="AHSS",D4-SUMIFS($G:$G,$A:$A,A4,$C:$C,C4,$B:$B,"&lt;&gt;AHSS"),G4)</f>
        <v>10944</v>
      </c>
      <c r="I4" s="19">
        <v>10944</v>
      </c>
      <c r="J4" s="1" t="b">
        <f t="shared" ref="J4:J35" si="2">H4=I4</f>
        <v>1</v>
      </c>
    </row>
    <row r="5" spans="1:10" x14ac:dyDescent="0.35">
      <c r="A5" s="1" t="s">
        <v>34</v>
      </c>
      <c r="B5" s="1" t="s">
        <v>27</v>
      </c>
      <c r="C5" s="1">
        <v>2022</v>
      </c>
      <c r="D5" s="14">
        <f>SUMIFS(Usage_Base!$C:$C,Usage_Base!$A:$A,A5,Usage_Base!$B:$B,C5)</f>
        <v>15200</v>
      </c>
      <c r="E5" s="1" t="str">
        <f>IF(COUNTIF(Assumptions!$A$18:$A$22,A5)&gt;0,A5,"BASELINE")</f>
        <v>SCOPUS</v>
      </c>
      <c r="F5" s="11">
        <f>INDEX(Assumptions!$B$17:$E$22,MATCH(E5,Assumptions!$A$17:$A$22,0),MATCH(B5,Assumptions!$B$16:$E$16,0))</f>
        <v>0.1</v>
      </c>
      <c r="G5" s="14">
        <f t="shared" si="0"/>
        <v>1520</v>
      </c>
      <c r="H5" s="14">
        <f t="shared" si="1"/>
        <v>1520</v>
      </c>
      <c r="I5" s="19">
        <v>1520</v>
      </c>
      <c r="J5" s="1" t="b">
        <f t="shared" si="2"/>
        <v>1</v>
      </c>
    </row>
    <row r="6" spans="1:10" x14ac:dyDescent="0.35">
      <c r="A6" s="1" t="s">
        <v>34</v>
      </c>
      <c r="B6" s="1" t="s">
        <v>28</v>
      </c>
      <c r="C6" s="1">
        <v>2022</v>
      </c>
      <c r="D6" s="14">
        <f>SUMIFS(Usage_Base!$C:$C,Usage_Base!$A:$A,A6,Usage_Base!$B:$B,C6)</f>
        <v>15200</v>
      </c>
      <c r="E6" s="1" t="str">
        <f>IF(COUNTIF(Assumptions!$A$18:$A$22,A6)&gt;0,A6,"BASELINE")</f>
        <v>SCOPUS</v>
      </c>
      <c r="F6" s="11">
        <f>INDEX(Assumptions!$B$17:$E$22,MATCH(E6,Assumptions!$A$17:$A$22,0),MATCH(B6,Assumptions!$B$16:$E$16,0))</f>
        <v>0.12</v>
      </c>
      <c r="G6" s="14">
        <f t="shared" si="0"/>
        <v>1824</v>
      </c>
      <c r="H6" s="14">
        <f t="shared" si="1"/>
        <v>1824</v>
      </c>
      <c r="I6" s="19">
        <v>1824</v>
      </c>
      <c r="J6" s="1" t="b">
        <f t="shared" si="2"/>
        <v>1</v>
      </c>
    </row>
    <row r="7" spans="1:10" x14ac:dyDescent="0.35">
      <c r="A7" s="1" t="s">
        <v>34</v>
      </c>
      <c r="B7" s="1" t="s">
        <v>29</v>
      </c>
      <c r="C7" s="1">
        <v>2022</v>
      </c>
      <c r="D7" s="14">
        <f>SUMIFS(Usage_Base!$C:$C,Usage_Base!$A:$A,A7,Usage_Base!$B:$B,C7)</f>
        <v>15200</v>
      </c>
      <c r="E7" s="1" t="str">
        <f>IF(COUNTIF(Assumptions!$A$18:$A$22,A7)&gt;0,A7,"BASELINE")</f>
        <v>SCOPUS</v>
      </c>
      <c r="F7" s="11">
        <f>INDEX(Assumptions!$B$17:$E$22,MATCH(E7,Assumptions!$A$17:$A$22,0),MATCH(B7,Assumptions!$B$16:$E$16,0))</f>
        <v>0.06</v>
      </c>
      <c r="G7" s="14">
        <f t="shared" si="0"/>
        <v>912</v>
      </c>
      <c r="H7" s="14">
        <f t="shared" si="1"/>
        <v>912</v>
      </c>
      <c r="I7" s="19">
        <v>912</v>
      </c>
      <c r="J7" s="1" t="b">
        <f t="shared" si="2"/>
        <v>1</v>
      </c>
    </row>
    <row r="8" spans="1:10" x14ac:dyDescent="0.35">
      <c r="A8" s="1" t="s">
        <v>34</v>
      </c>
      <c r="B8" s="1" t="s">
        <v>26</v>
      </c>
      <c r="C8" s="1">
        <v>2023</v>
      </c>
      <c r="D8" s="14">
        <f>SUMIFS(Usage_Base!$C:$C,Usage_Base!$A:$A,A8,Usage_Base!$B:$B,C8)</f>
        <v>15800</v>
      </c>
      <c r="E8" s="1" t="str">
        <f>IF(COUNTIF(Assumptions!$A$18:$A$22,A8)&gt;0,A8,"BASELINE")</f>
        <v>SCOPUS</v>
      </c>
      <c r="F8" s="11">
        <f>INDEX(Assumptions!$B$17:$E$22,MATCH(E8,Assumptions!$A$17:$A$22,0),MATCH(B8,Assumptions!$B$16:$E$16,0))</f>
        <v>0.72</v>
      </c>
      <c r="G8" s="14">
        <f t="shared" si="0"/>
        <v>11376</v>
      </c>
      <c r="H8" s="14">
        <f t="shared" si="1"/>
        <v>11376</v>
      </c>
      <c r="I8" s="19">
        <v>11376</v>
      </c>
      <c r="J8" s="1" t="b">
        <f t="shared" si="2"/>
        <v>1</v>
      </c>
    </row>
    <row r="9" spans="1:10" x14ac:dyDescent="0.35">
      <c r="A9" s="1" t="s">
        <v>34</v>
      </c>
      <c r="B9" s="1" t="s">
        <v>27</v>
      </c>
      <c r="C9" s="1">
        <v>2023</v>
      </c>
      <c r="D9" s="14">
        <f>SUMIFS(Usage_Base!$C:$C,Usage_Base!$A:$A,A9,Usage_Base!$B:$B,C9)</f>
        <v>15800</v>
      </c>
      <c r="E9" s="1" t="str">
        <f>IF(COUNTIF(Assumptions!$A$18:$A$22,A9)&gt;0,A9,"BASELINE")</f>
        <v>SCOPUS</v>
      </c>
      <c r="F9" s="11">
        <f>INDEX(Assumptions!$B$17:$E$22,MATCH(E9,Assumptions!$A$17:$A$22,0),MATCH(B9,Assumptions!$B$16:$E$16,0))</f>
        <v>0.1</v>
      </c>
      <c r="G9" s="14">
        <f t="shared" si="0"/>
        <v>1580</v>
      </c>
      <c r="H9" s="14">
        <f t="shared" si="1"/>
        <v>1580</v>
      </c>
      <c r="I9" s="19">
        <v>1580</v>
      </c>
      <c r="J9" s="1" t="b">
        <f t="shared" si="2"/>
        <v>1</v>
      </c>
    </row>
    <row r="10" spans="1:10" x14ac:dyDescent="0.35">
      <c r="A10" s="1" t="s">
        <v>34</v>
      </c>
      <c r="B10" s="1" t="s">
        <v>28</v>
      </c>
      <c r="C10" s="1">
        <v>2023</v>
      </c>
      <c r="D10" s="14">
        <f>SUMIFS(Usage_Base!$C:$C,Usage_Base!$A:$A,A10,Usage_Base!$B:$B,C10)</f>
        <v>15800</v>
      </c>
      <c r="E10" s="1" t="str">
        <f>IF(COUNTIF(Assumptions!$A$18:$A$22,A10)&gt;0,A10,"BASELINE")</f>
        <v>SCOPUS</v>
      </c>
      <c r="F10" s="11">
        <f>INDEX(Assumptions!$B$17:$E$22,MATCH(E10,Assumptions!$A$17:$A$22,0),MATCH(B10,Assumptions!$B$16:$E$16,0))</f>
        <v>0.12</v>
      </c>
      <c r="G10" s="14">
        <f t="shared" si="0"/>
        <v>1896</v>
      </c>
      <c r="H10" s="14">
        <f t="shared" si="1"/>
        <v>1896</v>
      </c>
      <c r="I10" s="19">
        <v>1896</v>
      </c>
      <c r="J10" s="1" t="b">
        <f t="shared" si="2"/>
        <v>1</v>
      </c>
    </row>
    <row r="11" spans="1:10" x14ac:dyDescent="0.35">
      <c r="A11" s="1" t="s">
        <v>34</v>
      </c>
      <c r="B11" s="1" t="s">
        <v>29</v>
      </c>
      <c r="C11" s="1">
        <v>2023</v>
      </c>
      <c r="D11" s="14">
        <f>SUMIFS(Usage_Base!$C:$C,Usage_Base!$A:$A,A11,Usage_Base!$B:$B,C11)</f>
        <v>15800</v>
      </c>
      <c r="E11" s="1" t="str">
        <f>IF(COUNTIF(Assumptions!$A$18:$A$22,A11)&gt;0,A11,"BASELINE")</f>
        <v>SCOPUS</v>
      </c>
      <c r="F11" s="11">
        <f>INDEX(Assumptions!$B$17:$E$22,MATCH(E11,Assumptions!$A$17:$A$22,0),MATCH(B11,Assumptions!$B$16:$E$16,0))</f>
        <v>0.06</v>
      </c>
      <c r="G11" s="14">
        <f t="shared" si="0"/>
        <v>948</v>
      </c>
      <c r="H11" s="14">
        <f t="shared" si="1"/>
        <v>948</v>
      </c>
      <c r="I11" s="19">
        <v>948</v>
      </c>
      <c r="J11" s="1" t="b">
        <f t="shared" si="2"/>
        <v>1</v>
      </c>
    </row>
    <row r="12" spans="1:10" x14ac:dyDescent="0.35">
      <c r="A12" s="1" t="s">
        <v>34</v>
      </c>
      <c r="B12" s="1" t="s">
        <v>26</v>
      </c>
      <c r="C12" s="1">
        <v>2024</v>
      </c>
      <c r="D12" s="14">
        <f>SUMIFS(Usage_Base!$C:$C,Usage_Base!$A:$A,A12,Usage_Base!$B:$B,C12)</f>
        <v>16000</v>
      </c>
      <c r="E12" s="1" t="str">
        <f>IF(COUNTIF(Assumptions!$A$18:$A$22,A12)&gt;0,A12,"BASELINE")</f>
        <v>SCOPUS</v>
      </c>
      <c r="F12" s="11">
        <f>INDEX(Assumptions!$B$17:$E$22,MATCH(E12,Assumptions!$A$17:$A$22,0),MATCH(B12,Assumptions!$B$16:$E$16,0))</f>
        <v>0.72</v>
      </c>
      <c r="G12" s="14">
        <f t="shared" si="0"/>
        <v>11520</v>
      </c>
      <c r="H12" s="14">
        <f t="shared" si="1"/>
        <v>11520</v>
      </c>
      <c r="I12" s="19">
        <v>11520</v>
      </c>
      <c r="J12" s="1" t="b">
        <f t="shared" si="2"/>
        <v>1</v>
      </c>
    </row>
    <row r="13" spans="1:10" x14ac:dyDescent="0.35">
      <c r="A13" s="1" t="s">
        <v>34</v>
      </c>
      <c r="B13" s="1" t="s">
        <v>27</v>
      </c>
      <c r="C13" s="1">
        <v>2024</v>
      </c>
      <c r="D13" s="14">
        <f>SUMIFS(Usage_Base!$C:$C,Usage_Base!$A:$A,A13,Usage_Base!$B:$B,C13)</f>
        <v>16000</v>
      </c>
      <c r="E13" s="1" t="str">
        <f>IF(COUNTIF(Assumptions!$A$18:$A$22,A13)&gt;0,A13,"BASELINE")</f>
        <v>SCOPUS</v>
      </c>
      <c r="F13" s="11">
        <f>INDEX(Assumptions!$B$17:$E$22,MATCH(E13,Assumptions!$A$17:$A$22,0),MATCH(B13,Assumptions!$B$16:$E$16,0))</f>
        <v>0.1</v>
      </c>
      <c r="G13" s="14">
        <f t="shared" si="0"/>
        <v>1600</v>
      </c>
      <c r="H13" s="14">
        <f t="shared" si="1"/>
        <v>1600</v>
      </c>
      <c r="I13" s="19">
        <v>1600</v>
      </c>
      <c r="J13" s="1" t="b">
        <f t="shared" si="2"/>
        <v>1</v>
      </c>
    </row>
    <row r="14" spans="1:10" x14ac:dyDescent="0.35">
      <c r="A14" s="1" t="s">
        <v>34</v>
      </c>
      <c r="B14" s="1" t="s">
        <v>28</v>
      </c>
      <c r="C14" s="1">
        <v>2024</v>
      </c>
      <c r="D14" s="14">
        <f>SUMIFS(Usage_Base!$C:$C,Usage_Base!$A:$A,A14,Usage_Base!$B:$B,C14)</f>
        <v>16000</v>
      </c>
      <c r="E14" s="1" t="str">
        <f>IF(COUNTIF(Assumptions!$A$18:$A$22,A14)&gt;0,A14,"BASELINE")</f>
        <v>SCOPUS</v>
      </c>
      <c r="F14" s="11">
        <f>INDEX(Assumptions!$B$17:$E$22,MATCH(E14,Assumptions!$A$17:$A$22,0),MATCH(B14,Assumptions!$B$16:$E$16,0))</f>
        <v>0.12</v>
      </c>
      <c r="G14" s="14">
        <f t="shared" si="0"/>
        <v>1920</v>
      </c>
      <c r="H14" s="14">
        <f t="shared" si="1"/>
        <v>1920</v>
      </c>
      <c r="I14" s="19">
        <v>1920</v>
      </c>
      <c r="J14" s="1" t="b">
        <f t="shared" si="2"/>
        <v>1</v>
      </c>
    </row>
    <row r="15" spans="1:10" x14ac:dyDescent="0.35">
      <c r="A15" s="1" t="s">
        <v>34</v>
      </c>
      <c r="B15" s="1" t="s">
        <v>29</v>
      </c>
      <c r="C15" s="1">
        <v>2024</v>
      </c>
      <c r="D15" s="14">
        <f>SUMIFS(Usage_Base!$C:$C,Usage_Base!$A:$A,A15,Usage_Base!$B:$B,C15)</f>
        <v>16000</v>
      </c>
      <c r="E15" s="1" t="str">
        <f>IF(COUNTIF(Assumptions!$A$18:$A$22,A15)&gt;0,A15,"BASELINE")</f>
        <v>SCOPUS</v>
      </c>
      <c r="F15" s="11">
        <f>INDEX(Assumptions!$B$17:$E$22,MATCH(E15,Assumptions!$A$17:$A$22,0),MATCH(B15,Assumptions!$B$16:$E$16,0))</f>
        <v>0.06</v>
      </c>
      <c r="G15" s="14">
        <f t="shared" si="0"/>
        <v>960</v>
      </c>
      <c r="H15" s="14">
        <f t="shared" si="1"/>
        <v>960</v>
      </c>
      <c r="I15" s="19">
        <v>960</v>
      </c>
      <c r="J15" s="1" t="b">
        <f t="shared" si="2"/>
        <v>1</v>
      </c>
    </row>
    <row r="16" spans="1:10" x14ac:dyDescent="0.35">
      <c r="A16" s="1" t="s">
        <v>36</v>
      </c>
      <c r="B16" s="1" t="s">
        <v>26</v>
      </c>
      <c r="C16" s="1">
        <v>2022</v>
      </c>
      <c r="D16" s="14">
        <f>SUMIFS(Usage_Base!$C:$C,Usage_Base!$A:$A,A16,Usage_Base!$B:$B,C16)</f>
        <v>19700</v>
      </c>
      <c r="E16" s="1" t="str">
        <f>IF(COUNTIF(Assumptions!$A$18:$A$22,A16)&gt;0,A16,"BASELINE")</f>
        <v>WOS</v>
      </c>
      <c r="F16" s="11">
        <f>INDEX(Assumptions!$B$17:$E$22,MATCH(E16,Assumptions!$A$17:$A$22,0),MATCH(B16,Assumptions!$B$16:$E$16,0))</f>
        <v>0.7</v>
      </c>
      <c r="G16" s="14">
        <f t="shared" si="0"/>
        <v>13790</v>
      </c>
      <c r="H16" s="14">
        <f t="shared" si="1"/>
        <v>13790</v>
      </c>
      <c r="I16" s="19">
        <v>13790</v>
      </c>
      <c r="J16" s="1" t="b">
        <f t="shared" si="2"/>
        <v>1</v>
      </c>
    </row>
    <row r="17" spans="1:10" x14ac:dyDescent="0.35">
      <c r="A17" s="1" t="s">
        <v>36</v>
      </c>
      <c r="B17" s="1" t="s">
        <v>27</v>
      </c>
      <c r="C17" s="1">
        <v>2022</v>
      </c>
      <c r="D17" s="14">
        <f>SUMIFS(Usage_Base!$C:$C,Usage_Base!$A:$A,A17,Usage_Base!$B:$B,C17)</f>
        <v>19700</v>
      </c>
      <c r="E17" s="1" t="str">
        <f>IF(COUNTIF(Assumptions!$A$18:$A$22,A17)&gt;0,A17,"BASELINE")</f>
        <v>WOS</v>
      </c>
      <c r="F17" s="11">
        <f>INDEX(Assumptions!$B$17:$E$22,MATCH(E17,Assumptions!$A$17:$A$22,0),MATCH(B17,Assumptions!$B$16:$E$16,0))</f>
        <v>0.12</v>
      </c>
      <c r="G17" s="14">
        <f t="shared" si="0"/>
        <v>2364</v>
      </c>
      <c r="H17" s="14">
        <f t="shared" si="1"/>
        <v>2364</v>
      </c>
      <c r="I17" s="19">
        <v>2364</v>
      </c>
      <c r="J17" s="1" t="b">
        <f t="shared" si="2"/>
        <v>1</v>
      </c>
    </row>
    <row r="18" spans="1:10" x14ac:dyDescent="0.35">
      <c r="A18" s="1" t="s">
        <v>36</v>
      </c>
      <c r="B18" s="1" t="s">
        <v>28</v>
      </c>
      <c r="C18" s="1">
        <v>2022</v>
      </c>
      <c r="D18" s="14">
        <f>SUMIFS(Usage_Base!$C:$C,Usage_Base!$A:$A,A18,Usage_Base!$B:$B,C18)</f>
        <v>19700</v>
      </c>
      <c r="E18" s="1" t="str">
        <f>IF(COUNTIF(Assumptions!$A$18:$A$22,A18)&gt;0,A18,"BASELINE")</f>
        <v>WOS</v>
      </c>
      <c r="F18" s="11">
        <f>INDEX(Assumptions!$B$17:$E$22,MATCH(E18,Assumptions!$A$17:$A$22,0),MATCH(B18,Assumptions!$B$16:$E$16,0))</f>
        <v>0.1</v>
      </c>
      <c r="G18" s="14">
        <f t="shared" si="0"/>
        <v>1970</v>
      </c>
      <c r="H18" s="14">
        <f t="shared" si="1"/>
        <v>1970</v>
      </c>
      <c r="I18" s="19">
        <v>1970</v>
      </c>
      <c r="J18" s="1" t="b">
        <f t="shared" si="2"/>
        <v>1</v>
      </c>
    </row>
    <row r="19" spans="1:10" x14ac:dyDescent="0.35">
      <c r="A19" s="1" t="s">
        <v>36</v>
      </c>
      <c r="B19" s="1" t="s">
        <v>29</v>
      </c>
      <c r="C19" s="1">
        <v>2022</v>
      </c>
      <c r="D19" s="14">
        <f>SUMIFS(Usage_Base!$C:$C,Usage_Base!$A:$A,A19,Usage_Base!$B:$B,C19)</f>
        <v>19700</v>
      </c>
      <c r="E19" s="1" t="str">
        <f>IF(COUNTIF(Assumptions!$A$18:$A$22,A19)&gt;0,A19,"BASELINE")</f>
        <v>WOS</v>
      </c>
      <c r="F19" s="11">
        <f>INDEX(Assumptions!$B$17:$E$22,MATCH(E19,Assumptions!$A$17:$A$22,0),MATCH(B19,Assumptions!$B$16:$E$16,0))</f>
        <v>0.08</v>
      </c>
      <c r="G19" s="14">
        <f t="shared" si="0"/>
        <v>1576</v>
      </c>
      <c r="H19" s="14">
        <f t="shared" si="1"/>
        <v>1576</v>
      </c>
      <c r="I19" s="19">
        <v>1576</v>
      </c>
      <c r="J19" s="1" t="b">
        <f t="shared" si="2"/>
        <v>1</v>
      </c>
    </row>
    <row r="20" spans="1:10" x14ac:dyDescent="0.35">
      <c r="A20" s="1" t="s">
        <v>36</v>
      </c>
      <c r="B20" s="1" t="s">
        <v>26</v>
      </c>
      <c r="C20" s="1">
        <v>2023</v>
      </c>
      <c r="D20" s="14">
        <f>SUMIFS(Usage_Base!$C:$C,Usage_Base!$A:$A,A20,Usage_Base!$B:$B,C20)</f>
        <v>20300</v>
      </c>
      <c r="E20" s="1" t="str">
        <f>IF(COUNTIF(Assumptions!$A$18:$A$22,A20)&gt;0,A20,"BASELINE")</f>
        <v>WOS</v>
      </c>
      <c r="F20" s="11">
        <f>INDEX(Assumptions!$B$17:$E$22,MATCH(E20,Assumptions!$A$17:$A$22,0),MATCH(B20,Assumptions!$B$16:$E$16,0))</f>
        <v>0.7</v>
      </c>
      <c r="G20" s="14">
        <f t="shared" si="0"/>
        <v>14210</v>
      </c>
      <c r="H20" s="14">
        <f t="shared" si="1"/>
        <v>14210</v>
      </c>
      <c r="I20" s="19">
        <v>14210</v>
      </c>
      <c r="J20" s="1" t="b">
        <f t="shared" si="2"/>
        <v>1</v>
      </c>
    </row>
    <row r="21" spans="1:10" x14ac:dyDescent="0.35">
      <c r="A21" s="1" t="s">
        <v>36</v>
      </c>
      <c r="B21" s="1" t="s">
        <v>27</v>
      </c>
      <c r="C21" s="1">
        <v>2023</v>
      </c>
      <c r="D21" s="14">
        <f>SUMIFS(Usage_Base!$C:$C,Usage_Base!$A:$A,A21,Usage_Base!$B:$B,C21)</f>
        <v>20300</v>
      </c>
      <c r="E21" s="1" t="str">
        <f>IF(COUNTIF(Assumptions!$A$18:$A$22,A21)&gt;0,A21,"BASELINE")</f>
        <v>WOS</v>
      </c>
      <c r="F21" s="11">
        <f>INDEX(Assumptions!$B$17:$E$22,MATCH(E21,Assumptions!$A$17:$A$22,0),MATCH(B21,Assumptions!$B$16:$E$16,0))</f>
        <v>0.12</v>
      </c>
      <c r="G21" s="14">
        <f t="shared" si="0"/>
        <v>2436</v>
      </c>
      <c r="H21" s="14">
        <f t="shared" si="1"/>
        <v>2436</v>
      </c>
      <c r="I21" s="19">
        <v>2436</v>
      </c>
      <c r="J21" s="1" t="b">
        <f t="shared" si="2"/>
        <v>1</v>
      </c>
    </row>
    <row r="22" spans="1:10" x14ac:dyDescent="0.35">
      <c r="A22" s="1" t="s">
        <v>36</v>
      </c>
      <c r="B22" s="1" t="s">
        <v>28</v>
      </c>
      <c r="C22" s="1">
        <v>2023</v>
      </c>
      <c r="D22" s="14">
        <f>SUMIFS(Usage_Base!$C:$C,Usage_Base!$A:$A,A22,Usage_Base!$B:$B,C22)</f>
        <v>20300</v>
      </c>
      <c r="E22" s="1" t="str">
        <f>IF(COUNTIF(Assumptions!$A$18:$A$22,A22)&gt;0,A22,"BASELINE")</f>
        <v>WOS</v>
      </c>
      <c r="F22" s="11">
        <f>INDEX(Assumptions!$B$17:$E$22,MATCH(E22,Assumptions!$A$17:$A$22,0),MATCH(B22,Assumptions!$B$16:$E$16,0))</f>
        <v>0.1</v>
      </c>
      <c r="G22" s="14">
        <f t="shared" si="0"/>
        <v>2030</v>
      </c>
      <c r="H22" s="14">
        <f t="shared" si="1"/>
        <v>2030</v>
      </c>
      <c r="I22" s="19">
        <v>2030</v>
      </c>
      <c r="J22" s="1" t="b">
        <f t="shared" si="2"/>
        <v>1</v>
      </c>
    </row>
    <row r="23" spans="1:10" x14ac:dyDescent="0.35">
      <c r="A23" s="1" t="s">
        <v>36</v>
      </c>
      <c r="B23" s="1" t="s">
        <v>29</v>
      </c>
      <c r="C23" s="1">
        <v>2023</v>
      </c>
      <c r="D23" s="14">
        <f>SUMIFS(Usage_Base!$C:$C,Usage_Base!$A:$A,A23,Usage_Base!$B:$B,C23)</f>
        <v>20300</v>
      </c>
      <c r="E23" s="1" t="str">
        <f>IF(COUNTIF(Assumptions!$A$18:$A$22,A23)&gt;0,A23,"BASELINE")</f>
        <v>WOS</v>
      </c>
      <c r="F23" s="11">
        <f>INDEX(Assumptions!$B$17:$E$22,MATCH(E23,Assumptions!$A$17:$A$22,0),MATCH(B23,Assumptions!$B$16:$E$16,0))</f>
        <v>0.08</v>
      </c>
      <c r="G23" s="14">
        <f t="shared" si="0"/>
        <v>1624</v>
      </c>
      <c r="H23" s="14">
        <f t="shared" si="1"/>
        <v>1624</v>
      </c>
      <c r="I23" s="19">
        <v>1624</v>
      </c>
      <c r="J23" s="1" t="b">
        <f t="shared" si="2"/>
        <v>1</v>
      </c>
    </row>
    <row r="24" spans="1:10" x14ac:dyDescent="0.35">
      <c r="A24" s="1" t="s">
        <v>36</v>
      </c>
      <c r="B24" s="1" t="s">
        <v>26</v>
      </c>
      <c r="C24" s="1">
        <v>2024</v>
      </c>
      <c r="D24" s="14">
        <f>SUMIFS(Usage_Base!$C:$C,Usage_Base!$A:$A,A24,Usage_Base!$B:$B,C24)</f>
        <v>20700</v>
      </c>
      <c r="E24" s="1" t="str">
        <f>IF(COUNTIF(Assumptions!$A$18:$A$22,A24)&gt;0,A24,"BASELINE")</f>
        <v>WOS</v>
      </c>
      <c r="F24" s="11">
        <f>INDEX(Assumptions!$B$17:$E$22,MATCH(E24,Assumptions!$A$17:$A$22,0),MATCH(B24,Assumptions!$B$16:$E$16,0))</f>
        <v>0.7</v>
      </c>
      <c r="G24" s="14">
        <f t="shared" si="0"/>
        <v>14490</v>
      </c>
      <c r="H24" s="14">
        <f t="shared" si="1"/>
        <v>14490</v>
      </c>
      <c r="I24" s="19">
        <v>14490</v>
      </c>
      <c r="J24" s="1" t="b">
        <f t="shared" si="2"/>
        <v>1</v>
      </c>
    </row>
    <row r="25" spans="1:10" x14ac:dyDescent="0.35">
      <c r="A25" s="1" t="s">
        <v>36</v>
      </c>
      <c r="B25" s="1" t="s">
        <v>27</v>
      </c>
      <c r="C25" s="1">
        <v>2024</v>
      </c>
      <c r="D25" s="14">
        <f>SUMIFS(Usage_Base!$C:$C,Usage_Base!$A:$A,A25,Usage_Base!$B:$B,C25)</f>
        <v>20700</v>
      </c>
      <c r="E25" s="1" t="str">
        <f>IF(COUNTIF(Assumptions!$A$18:$A$22,A25)&gt;0,A25,"BASELINE")</f>
        <v>WOS</v>
      </c>
      <c r="F25" s="11">
        <f>INDEX(Assumptions!$B$17:$E$22,MATCH(E25,Assumptions!$A$17:$A$22,0),MATCH(B25,Assumptions!$B$16:$E$16,0))</f>
        <v>0.12</v>
      </c>
      <c r="G25" s="14">
        <f t="shared" si="0"/>
        <v>2484</v>
      </c>
      <c r="H25" s="14">
        <f t="shared" si="1"/>
        <v>2484</v>
      </c>
      <c r="I25" s="19">
        <v>2484</v>
      </c>
      <c r="J25" s="1" t="b">
        <f t="shared" si="2"/>
        <v>1</v>
      </c>
    </row>
    <row r="26" spans="1:10" x14ac:dyDescent="0.35">
      <c r="A26" s="1" t="s">
        <v>36</v>
      </c>
      <c r="B26" s="1" t="s">
        <v>28</v>
      </c>
      <c r="C26" s="1">
        <v>2024</v>
      </c>
      <c r="D26" s="14">
        <f>SUMIFS(Usage_Base!$C:$C,Usage_Base!$A:$A,A26,Usage_Base!$B:$B,C26)</f>
        <v>20700</v>
      </c>
      <c r="E26" s="1" t="str">
        <f>IF(COUNTIF(Assumptions!$A$18:$A$22,A26)&gt;0,A26,"BASELINE")</f>
        <v>WOS</v>
      </c>
      <c r="F26" s="11">
        <f>INDEX(Assumptions!$B$17:$E$22,MATCH(E26,Assumptions!$A$17:$A$22,0),MATCH(B26,Assumptions!$B$16:$E$16,0))</f>
        <v>0.1</v>
      </c>
      <c r="G26" s="14">
        <f t="shared" si="0"/>
        <v>2070</v>
      </c>
      <c r="H26" s="14">
        <f t="shared" si="1"/>
        <v>2070</v>
      </c>
      <c r="I26" s="19">
        <v>2070</v>
      </c>
      <c r="J26" s="1" t="b">
        <f t="shared" si="2"/>
        <v>1</v>
      </c>
    </row>
    <row r="27" spans="1:10" x14ac:dyDescent="0.35">
      <c r="A27" s="1" t="s">
        <v>36</v>
      </c>
      <c r="B27" s="1" t="s">
        <v>29</v>
      </c>
      <c r="C27" s="1">
        <v>2024</v>
      </c>
      <c r="D27" s="14">
        <f>SUMIFS(Usage_Base!$C:$C,Usage_Base!$A:$A,A27,Usage_Base!$B:$B,C27)</f>
        <v>20700</v>
      </c>
      <c r="E27" s="1" t="str">
        <f>IF(COUNTIF(Assumptions!$A$18:$A$22,A27)&gt;0,A27,"BASELINE")</f>
        <v>WOS</v>
      </c>
      <c r="F27" s="11">
        <f>INDEX(Assumptions!$B$17:$E$22,MATCH(E27,Assumptions!$A$17:$A$22,0),MATCH(B27,Assumptions!$B$16:$E$16,0))</f>
        <v>0.08</v>
      </c>
      <c r="G27" s="14">
        <f t="shared" si="0"/>
        <v>1656</v>
      </c>
      <c r="H27" s="14">
        <f t="shared" si="1"/>
        <v>1656</v>
      </c>
      <c r="I27" s="19">
        <v>1656</v>
      </c>
      <c r="J27" s="1" t="b">
        <f t="shared" si="2"/>
        <v>1</v>
      </c>
    </row>
    <row r="28" spans="1:10" x14ac:dyDescent="0.35">
      <c r="A28" s="1" t="s">
        <v>70</v>
      </c>
      <c r="B28" s="1" t="s">
        <v>26</v>
      </c>
      <c r="C28" s="1">
        <v>2022</v>
      </c>
      <c r="D28" s="14">
        <f>SUMIFS(Usage_Base!$C:$C,Usage_Base!$A:$A,A28,Usage_Base!$B:$B,C28)</f>
        <v>780</v>
      </c>
      <c r="E28" s="1" t="str">
        <f>IF(COUNTIF(Assumptions!$A$18:$A$22,A28)&gt;0,A28,"BASELINE")</f>
        <v>BASELINE</v>
      </c>
      <c r="F28" s="11">
        <f>INDEX(Assumptions!$B$17:$E$22,MATCH(E28,Assumptions!$A$17:$A$22,0),MATCH(B28,Assumptions!$B$16:$E$16,0))</f>
        <v>0.3</v>
      </c>
      <c r="G28" s="14">
        <f t="shared" si="0"/>
        <v>234</v>
      </c>
      <c r="H28" s="14">
        <f t="shared" si="1"/>
        <v>234</v>
      </c>
      <c r="I28" s="19">
        <v>234</v>
      </c>
      <c r="J28" s="1" t="b">
        <f t="shared" si="2"/>
        <v>1</v>
      </c>
    </row>
    <row r="29" spans="1:10" x14ac:dyDescent="0.35">
      <c r="A29" s="1" t="s">
        <v>70</v>
      </c>
      <c r="B29" s="1" t="s">
        <v>27</v>
      </c>
      <c r="C29" s="1">
        <v>2022</v>
      </c>
      <c r="D29" s="14">
        <f>SUMIFS(Usage_Base!$C:$C,Usage_Base!$A:$A,A29,Usage_Base!$B:$B,C29)</f>
        <v>780</v>
      </c>
      <c r="E29" s="1" t="str">
        <f>IF(COUNTIF(Assumptions!$A$18:$A$22,A29)&gt;0,A29,"BASELINE")</f>
        <v>BASELINE</v>
      </c>
      <c r="F29" s="11">
        <f>INDEX(Assumptions!$B$17:$E$22,MATCH(E29,Assumptions!$A$17:$A$22,0),MATCH(B29,Assumptions!$B$16:$E$16,0))</f>
        <v>0.25</v>
      </c>
      <c r="G29" s="14">
        <f t="shared" si="0"/>
        <v>195</v>
      </c>
      <c r="H29" s="14">
        <f t="shared" si="1"/>
        <v>195</v>
      </c>
      <c r="I29" s="19">
        <v>195</v>
      </c>
      <c r="J29" s="1" t="b">
        <f t="shared" si="2"/>
        <v>1</v>
      </c>
    </row>
    <row r="30" spans="1:10" x14ac:dyDescent="0.35">
      <c r="A30" s="1" t="s">
        <v>70</v>
      </c>
      <c r="B30" s="1" t="s">
        <v>28</v>
      </c>
      <c r="C30" s="1">
        <v>2022</v>
      </c>
      <c r="D30" s="14">
        <f>SUMIFS(Usage_Base!$C:$C,Usage_Base!$A:$A,A30,Usage_Base!$B:$B,C30)</f>
        <v>780</v>
      </c>
      <c r="E30" s="1" t="str">
        <f>IF(COUNTIF(Assumptions!$A$18:$A$22,A30)&gt;0,A30,"BASELINE")</f>
        <v>BASELINE</v>
      </c>
      <c r="F30" s="11">
        <f>INDEX(Assumptions!$B$17:$E$22,MATCH(E30,Assumptions!$A$17:$A$22,0),MATCH(B30,Assumptions!$B$16:$E$16,0))</f>
        <v>0.2</v>
      </c>
      <c r="G30" s="14">
        <f t="shared" si="0"/>
        <v>156</v>
      </c>
      <c r="H30" s="14">
        <f t="shared" si="1"/>
        <v>156</v>
      </c>
      <c r="I30" s="19">
        <v>156</v>
      </c>
      <c r="J30" s="1" t="b">
        <f t="shared" si="2"/>
        <v>1</v>
      </c>
    </row>
    <row r="31" spans="1:10" x14ac:dyDescent="0.35">
      <c r="A31" s="1" t="s">
        <v>70</v>
      </c>
      <c r="B31" s="1" t="s">
        <v>29</v>
      </c>
      <c r="C31" s="1">
        <v>2022</v>
      </c>
      <c r="D31" s="14">
        <f>SUMIFS(Usage_Base!$C:$C,Usage_Base!$A:$A,A31,Usage_Base!$B:$B,C31)</f>
        <v>780</v>
      </c>
      <c r="E31" s="1" t="str">
        <f>IF(COUNTIF(Assumptions!$A$18:$A$22,A31)&gt;0,A31,"BASELINE")</f>
        <v>BASELINE</v>
      </c>
      <c r="F31" s="11">
        <f>INDEX(Assumptions!$B$17:$E$22,MATCH(E31,Assumptions!$A$17:$A$22,0),MATCH(B31,Assumptions!$B$16:$E$16,0))</f>
        <v>0.25</v>
      </c>
      <c r="G31" s="14">
        <f t="shared" si="0"/>
        <v>195</v>
      </c>
      <c r="H31" s="14">
        <f t="shared" si="1"/>
        <v>195</v>
      </c>
      <c r="I31" s="19">
        <v>195</v>
      </c>
      <c r="J31" s="1" t="b">
        <f t="shared" si="2"/>
        <v>1</v>
      </c>
    </row>
    <row r="32" spans="1:10" x14ac:dyDescent="0.35">
      <c r="A32" s="1" t="s">
        <v>70</v>
      </c>
      <c r="B32" s="1" t="s">
        <v>26</v>
      </c>
      <c r="C32" s="1">
        <v>2023</v>
      </c>
      <c r="D32" s="14">
        <f>SUMIFS(Usage_Base!$C:$C,Usage_Base!$A:$A,A32,Usage_Base!$B:$B,C32)</f>
        <v>850</v>
      </c>
      <c r="E32" s="1" t="str">
        <f>IF(COUNTIF(Assumptions!$A$18:$A$22,A32)&gt;0,A32,"BASELINE")</f>
        <v>BASELINE</v>
      </c>
      <c r="F32" s="11">
        <f>INDEX(Assumptions!$B$17:$E$22,MATCH(E32,Assumptions!$A$17:$A$22,0),MATCH(B32,Assumptions!$B$16:$E$16,0))</f>
        <v>0.3</v>
      </c>
      <c r="G32" s="14">
        <f t="shared" si="0"/>
        <v>255</v>
      </c>
      <c r="H32" s="14">
        <f t="shared" si="1"/>
        <v>255</v>
      </c>
      <c r="I32" s="19">
        <v>255</v>
      </c>
      <c r="J32" s="1" t="b">
        <f t="shared" si="2"/>
        <v>1</v>
      </c>
    </row>
    <row r="33" spans="1:10" x14ac:dyDescent="0.35">
      <c r="A33" s="1" t="s">
        <v>70</v>
      </c>
      <c r="B33" s="1" t="s">
        <v>27</v>
      </c>
      <c r="C33" s="1">
        <v>2023</v>
      </c>
      <c r="D33" s="14">
        <f>SUMIFS(Usage_Base!$C:$C,Usage_Base!$A:$A,A33,Usage_Base!$B:$B,C33)</f>
        <v>850</v>
      </c>
      <c r="E33" s="1" t="str">
        <f>IF(COUNTIF(Assumptions!$A$18:$A$22,A33)&gt;0,A33,"BASELINE")</f>
        <v>BASELINE</v>
      </c>
      <c r="F33" s="11">
        <f>INDEX(Assumptions!$B$17:$E$22,MATCH(E33,Assumptions!$A$17:$A$22,0),MATCH(B33,Assumptions!$B$16:$E$16,0))</f>
        <v>0.25</v>
      </c>
      <c r="G33" s="14">
        <f t="shared" si="0"/>
        <v>212</v>
      </c>
      <c r="H33" s="14">
        <f t="shared" si="1"/>
        <v>212</v>
      </c>
      <c r="I33" s="19">
        <v>212</v>
      </c>
      <c r="J33" s="1" t="b">
        <f t="shared" si="2"/>
        <v>1</v>
      </c>
    </row>
    <row r="34" spans="1:10" x14ac:dyDescent="0.35">
      <c r="A34" s="1" t="s">
        <v>70</v>
      </c>
      <c r="B34" s="1" t="s">
        <v>28</v>
      </c>
      <c r="C34" s="1">
        <v>2023</v>
      </c>
      <c r="D34" s="14">
        <f>SUMIFS(Usage_Base!$C:$C,Usage_Base!$A:$A,A34,Usage_Base!$B:$B,C34)</f>
        <v>850</v>
      </c>
      <c r="E34" s="1" t="str">
        <f>IF(COUNTIF(Assumptions!$A$18:$A$22,A34)&gt;0,A34,"BASELINE")</f>
        <v>BASELINE</v>
      </c>
      <c r="F34" s="11">
        <f>INDEX(Assumptions!$B$17:$E$22,MATCH(E34,Assumptions!$A$17:$A$22,0),MATCH(B34,Assumptions!$B$16:$E$16,0))</f>
        <v>0.2</v>
      </c>
      <c r="G34" s="14">
        <f t="shared" si="0"/>
        <v>170</v>
      </c>
      <c r="H34" s="14">
        <f t="shared" si="1"/>
        <v>170</v>
      </c>
      <c r="I34" s="19">
        <v>170</v>
      </c>
      <c r="J34" s="1" t="b">
        <f t="shared" si="2"/>
        <v>1</v>
      </c>
    </row>
    <row r="35" spans="1:10" x14ac:dyDescent="0.35">
      <c r="A35" s="1" t="s">
        <v>70</v>
      </c>
      <c r="B35" s="1" t="s">
        <v>29</v>
      </c>
      <c r="C35" s="1">
        <v>2023</v>
      </c>
      <c r="D35" s="14">
        <f>SUMIFS(Usage_Base!$C:$C,Usage_Base!$A:$A,A35,Usage_Base!$B:$B,C35)</f>
        <v>850</v>
      </c>
      <c r="E35" s="1" t="str">
        <f>IF(COUNTIF(Assumptions!$A$18:$A$22,A35)&gt;0,A35,"BASELINE")</f>
        <v>BASELINE</v>
      </c>
      <c r="F35" s="11">
        <f>INDEX(Assumptions!$B$17:$E$22,MATCH(E35,Assumptions!$A$17:$A$22,0),MATCH(B35,Assumptions!$B$16:$E$16,0))</f>
        <v>0.25</v>
      </c>
      <c r="G35" s="14">
        <f t="shared" si="0"/>
        <v>212</v>
      </c>
      <c r="H35" s="14">
        <f t="shared" si="1"/>
        <v>213</v>
      </c>
      <c r="I35" s="19">
        <v>213</v>
      </c>
      <c r="J35" s="1" t="b">
        <f t="shared" si="2"/>
        <v>1</v>
      </c>
    </row>
    <row r="36" spans="1:10" x14ac:dyDescent="0.35">
      <c r="A36" s="1" t="s">
        <v>70</v>
      </c>
      <c r="B36" s="1" t="s">
        <v>26</v>
      </c>
      <c r="C36" s="1">
        <v>2024</v>
      </c>
      <c r="D36" s="14">
        <f>SUMIFS(Usage_Base!$C:$C,Usage_Base!$A:$A,A36,Usage_Base!$B:$B,C36)</f>
        <v>910</v>
      </c>
      <c r="E36" s="1" t="str">
        <f>IF(COUNTIF(Assumptions!$A$18:$A$22,A36)&gt;0,A36,"BASELINE")</f>
        <v>BASELINE</v>
      </c>
      <c r="F36" s="11">
        <f>INDEX(Assumptions!$B$17:$E$22,MATCH(E36,Assumptions!$A$17:$A$22,0),MATCH(B36,Assumptions!$B$16:$E$16,0))</f>
        <v>0.3</v>
      </c>
      <c r="G36" s="14">
        <f t="shared" ref="G36:G67" si="3">IF(ROUND(MOD(D36*F36,1),9)=0.5,2*ROUND((D36*F36)/2,0),ROUND(D36*F36,0))</f>
        <v>273</v>
      </c>
      <c r="H36" s="14">
        <f t="shared" ref="H36:H67" si="4">IF(B36="AHSS",D36-SUMIFS($G:$G,$A:$A,A36,$C:$C,C36,$B:$B,"&lt;&gt;AHSS"),G36)</f>
        <v>273</v>
      </c>
      <c r="I36" s="19">
        <v>273</v>
      </c>
      <c r="J36" s="1" t="b">
        <f t="shared" ref="J36:J67" si="5">H36=I36</f>
        <v>1</v>
      </c>
    </row>
    <row r="37" spans="1:10" x14ac:dyDescent="0.35">
      <c r="A37" s="1" t="s">
        <v>70</v>
      </c>
      <c r="B37" s="1" t="s">
        <v>27</v>
      </c>
      <c r="C37" s="1">
        <v>2024</v>
      </c>
      <c r="D37" s="14">
        <f>SUMIFS(Usage_Base!$C:$C,Usage_Base!$A:$A,A37,Usage_Base!$B:$B,C37)</f>
        <v>910</v>
      </c>
      <c r="E37" s="1" t="str">
        <f>IF(COUNTIF(Assumptions!$A$18:$A$22,A37)&gt;0,A37,"BASELINE")</f>
        <v>BASELINE</v>
      </c>
      <c r="F37" s="11">
        <f>INDEX(Assumptions!$B$17:$E$22,MATCH(E37,Assumptions!$A$17:$A$22,0),MATCH(B37,Assumptions!$B$16:$E$16,0))</f>
        <v>0.25</v>
      </c>
      <c r="G37" s="14">
        <f t="shared" si="3"/>
        <v>228</v>
      </c>
      <c r="H37" s="14">
        <f t="shared" si="4"/>
        <v>228</v>
      </c>
      <c r="I37" s="19">
        <v>228</v>
      </c>
      <c r="J37" s="1" t="b">
        <f t="shared" si="5"/>
        <v>1</v>
      </c>
    </row>
    <row r="38" spans="1:10" x14ac:dyDescent="0.35">
      <c r="A38" s="1" t="s">
        <v>70</v>
      </c>
      <c r="B38" s="1" t="s">
        <v>28</v>
      </c>
      <c r="C38" s="1">
        <v>2024</v>
      </c>
      <c r="D38" s="14">
        <f>SUMIFS(Usage_Base!$C:$C,Usage_Base!$A:$A,A38,Usage_Base!$B:$B,C38)</f>
        <v>910</v>
      </c>
      <c r="E38" s="1" t="str">
        <f>IF(COUNTIF(Assumptions!$A$18:$A$22,A38)&gt;0,A38,"BASELINE")</f>
        <v>BASELINE</v>
      </c>
      <c r="F38" s="11">
        <f>INDEX(Assumptions!$B$17:$E$22,MATCH(E38,Assumptions!$A$17:$A$22,0),MATCH(B38,Assumptions!$B$16:$E$16,0))</f>
        <v>0.2</v>
      </c>
      <c r="G38" s="14">
        <f t="shared" si="3"/>
        <v>182</v>
      </c>
      <c r="H38" s="14">
        <f t="shared" si="4"/>
        <v>182</v>
      </c>
      <c r="I38" s="19">
        <v>182</v>
      </c>
      <c r="J38" s="1" t="b">
        <f t="shared" si="5"/>
        <v>1</v>
      </c>
    </row>
    <row r="39" spans="1:10" x14ac:dyDescent="0.35">
      <c r="A39" s="1" t="s">
        <v>70</v>
      </c>
      <c r="B39" s="1" t="s">
        <v>29</v>
      </c>
      <c r="C39" s="1">
        <v>2024</v>
      </c>
      <c r="D39" s="14">
        <f>SUMIFS(Usage_Base!$C:$C,Usage_Base!$A:$A,A39,Usage_Base!$B:$B,C39)</f>
        <v>910</v>
      </c>
      <c r="E39" s="1" t="str">
        <f>IF(COUNTIF(Assumptions!$A$18:$A$22,A39)&gt;0,A39,"BASELINE")</f>
        <v>BASELINE</v>
      </c>
      <c r="F39" s="11">
        <f>INDEX(Assumptions!$B$17:$E$22,MATCH(E39,Assumptions!$A$17:$A$22,0),MATCH(B39,Assumptions!$B$16:$E$16,0))</f>
        <v>0.25</v>
      </c>
      <c r="G39" s="14">
        <f t="shared" si="3"/>
        <v>228</v>
      </c>
      <c r="H39" s="14">
        <f t="shared" si="4"/>
        <v>227</v>
      </c>
      <c r="I39" s="19">
        <v>227</v>
      </c>
      <c r="J39" s="1" t="b">
        <f t="shared" si="5"/>
        <v>1</v>
      </c>
    </row>
    <row r="40" spans="1:10" x14ac:dyDescent="0.35">
      <c r="A40" s="1" t="s">
        <v>72</v>
      </c>
      <c r="B40" s="1" t="s">
        <v>26</v>
      </c>
      <c r="C40" s="1">
        <v>2022</v>
      </c>
      <c r="D40" s="14">
        <f>SUMIFS(Usage_Base!$C:$C,Usage_Base!$A:$A,A40,Usage_Base!$B:$B,C40)</f>
        <v>52800</v>
      </c>
      <c r="E40" s="1" t="str">
        <f>IF(COUNTIF(Assumptions!$A$18:$A$22,A40)&gt;0,A40,"BASELINE")</f>
        <v>BASELINE</v>
      </c>
      <c r="F40" s="11">
        <f>INDEX(Assumptions!$B$17:$E$22,MATCH(E40,Assumptions!$A$17:$A$22,0),MATCH(B40,Assumptions!$B$16:$E$16,0))</f>
        <v>0.3</v>
      </c>
      <c r="G40" s="14">
        <f t="shared" si="3"/>
        <v>15840</v>
      </c>
      <c r="H40" s="14">
        <f t="shared" si="4"/>
        <v>15840</v>
      </c>
      <c r="I40" s="19">
        <v>15840</v>
      </c>
      <c r="J40" s="1" t="b">
        <f t="shared" si="5"/>
        <v>1</v>
      </c>
    </row>
    <row r="41" spans="1:10" x14ac:dyDescent="0.35">
      <c r="A41" s="1" t="s">
        <v>72</v>
      </c>
      <c r="B41" s="1" t="s">
        <v>27</v>
      </c>
      <c r="C41" s="1">
        <v>2022</v>
      </c>
      <c r="D41" s="14">
        <f>SUMIFS(Usage_Base!$C:$C,Usage_Base!$A:$A,A41,Usage_Base!$B:$B,C41)</f>
        <v>52800</v>
      </c>
      <c r="E41" s="1" t="str">
        <f>IF(COUNTIF(Assumptions!$A$18:$A$22,A41)&gt;0,A41,"BASELINE")</f>
        <v>BASELINE</v>
      </c>
      <c r="F41" s="11">
        <f>INDEX(Assumptions!$B$17:$E$22,MATCH(E41,Assumptions!$A$17:$A$22,0),MATCH(B41,Assumptions!$B$16:$E$16,0))</f>
        <v>0.25</v>
      </c>
      <c r="G41" s="14">
        <f t="shared" si="3"/>
        <v>13200</v>
      </c>
      <c r="H41" s="14">
        <f t="shared" si="4"/>
        <v>13200</v>
      </c>
      <c r="I41" s="19">
        <v>13200</v>
      </c>
      <c r="J41" s="1" t="b">
        <f t="shared" si="5"/>
        <v>1</v>
      </c>
    </row>
    <row r="42" spans="1:10" x14ac:dyDescent="0.35">
      <c r="A42" s="1" t="s">
        <v>72</v>
      </c>
      <c r="B42" s="1" t="s">
        <v>28</v>
      </c>
      <c r="C42" s="1">
        <v>2022</v>
      </c>
      <c r="D42" s="14">
        <f>SUMIFS(Usage_Base!$C:$C,Usage_Base!$A:$A,A42,Usage_Base!$B:$B,C42)</f>
        <v>52800</v>
      </c>
      <c r="E42" s="1" t="str">
        <f>IF(COUNTIF(Assumptions!$A$18:$A$22,A42)&gt;0,A42,"BASELINE")</f>
        <v>BASELINE</v>
      </c>
      <c r="F42" s="11">
        <f>INDEX(Assumptions!$B$17:$E$22,MATCH(E42,Assumptions!$A$17:$A$22,0),MATCH(B42,Assumptions!$B$16:$E$16,0))</f>
        <v>0.2</v>
      </c>
      <c r="G42" s="14">
        <f t="shared" si="3"/>
        <v>10560</v>
      </c>
      <c r="H42" s="14">
        <f t="shared" si="4"/>
        <v>10560</v>
      </c>
      <c r="I42" s="19">
        <v>10560</v>
      </c>
      <c r="J42" s="1" t="b">
        <f t="shared" si="5"/>
        <v>1</v>
      </c>
    </row>
    <row r="43" spans="1:10" x14ac:dyDescent="0.35">
      <c r="A43" s="1" t="s">
        <v>72</v>
      </c>
      <c r="B43" s="1" t="s">
        <v>29</v>
      </c>
      <c r="C43" s="1">
        <v>2022</v>
      </c>
      <c r="D43" s="14">
        <f>SUMIFS(Usage_Base!$C:$C,Usage_Base!$A:$A,A43,Usage_Base!$B:$B,C43)</f>
        <v>52800</v>
      </c>
      <c r="E43" s="1" t="str">
        <f>IF(COUNTIF(Assumptions!$A$18:$A$22,A43)&gt;0,A43,"BASELINE")</f>
        <v>BASELINE</v>
      </c>
      <c r="F43" s="11">
        <f>INDEX(Assumptions!$B$17:$E$22,MATCH(E43,Assumptions!$A$17:$A$22,0),MATCH(B43,Assumptions!$B$16:$E$16,0))</f>
        <v>0.25</v>
      </c>
      <c r="G43" s="14">
        <f t="shared" si="3"/>
        <v>13200</v>
      </c>
      <c r="H43" s="14">
        <f t="shared" si="4"/>
        <v>13200</v>
      </c>
      <c r="I43" s="19">
        <v>13200</v>
      </c>
      <c r="J43" s="1" t="b">
        <f t="shared" si="5"/>
        <v>1</v>
      </c>
    </row>
    <row r="44" spans="1:10" x14ac:dyDescent="0.35">
      <c r="A44" s="1" t="s">
        <v>72</v>
      </c>
      <c r="B44" s="1" t="s">
        <v>26</v>
      </c>
      <c r="C44" s="1">
        <v>2023</v>
      </c>
      <c r="D44" s="14">
        <f>SUMIFS(Usage_Base!$C:$C,Usage_Base!$A:$A,A44,Usage_Base!$B:$B,C44)</f>
        <v>54900</v>
      </c>
      <c r="E44" s="1" t="str">
        <f>IF(COUNTIF(Assumptions!$A$18:$A$22,A44)&gt;0,A44,"BASELINE")</f>
        <v>BASELINE</v>
      </c>
      <c r="F44" s="11">
        <f>INDEX(Assumptions!$B$17:$E$22,MATCH(E44,Assumptions!$A$17:$A$22,0),MATCH(B44,Assumptions!$B$16:$E$16,0))</f>
        <v>0.3</v>
      </c>
      <c r="G44" s="14">
        <f t="shared" si="3"/>
        <v>16470</v>
      </c>
      <c r="H44" s="14">
        <f t="shared" si="4"/>
        <v>16470</v>
      </c>
      <c r="I44" s="19">
        <v>16470</v>
      </c>
      <c r="J44" s="1" t="b">
        <f t="shared" si="5"/>
        <v>1</v>
      </c>
    </row>
    <row r="45" spans="1:10" x14ac:dyDescent="0.35">
      <c r="A45" s="1" t="s">
        <v>72</v>
      </c>
      <c r="B45" s="1" t="s">
        <v>27</v>
      </c>
      <c r="C45" s="1">
        <v>2023</v>
      </c>
      <c r="D45" s="14">
        <f>SUMIFS(Usage_Base!$C:$C,Usage_Base!$A:$A,A45,Usage_Base!$B:$B,C45)</f>
        <v>54900</v>
      </c>
      <c r="E45" s="1" t="str">
        <f>IF(COUNTIF(Assumptions!$A$18:$A$22,A45)&gt;0,A45,"BASELINE")</f>
        <v>BASELINE</v>
      </c>
      <c r="F45" s="11">
        <f>INDEX(Assumptions!$B$17:$E$22,MATCH(E45,Assumptions!$A$17:$A$22,0),MATCH(B45,Assumptions!$B$16:$E$16,0))</f>
        <v>0.25</v>
      </c>
      <c r="G45" s="14">
        <f t="shared" si="3"/>
        <v>13725</v>
      </c>
      <c r="H45" s="14">
        <f t="shared" si="4"/>
        <v>13725</v>
      </c>
      <c r="I45" s="19">
        <v>13725</v>
      </c>
      <c r="J45" s="1" t="b">
        <f t="shared" si="5"/>
        <v>1</v>
      </c>
    </row>
    <row r="46" spans="1:10" x14ac:dyDescent="0.35">
      <c r="A46" s="1" t="s">
        <v>72</v>
      </c>
      <c r="B46" s="1" t="s">
        <v>28</v>
      </c>
      <c r="C46" s="1">
        <v>2023</v>
      </c>
      <c r="D46" s="14">
        <f>SUMIFS(Usage_Base!$C:$C,Usage_Base!$A:$A,A46,Usage_Base!$B:$B,C46)</f>
        <v>54900</v>
      </c>
      <c r="E46" s="1" t="str">
        <f>IF(COUNTIF(Assumptions!$A$18:$A$22,A46)&gt;0,A46,"BASELINE")</f>
        <v>BASELINE</v>
      </c>
      <c r="F46" s="11">
        <f>INDEX(Assumptions!$B$17:$E$22,MATCH(E46,Assumptions!$A$17:$A$22,0),MATCH(B46,Assumptions!$B$16:$E$16,0))</f>
        <v>0.2</v>
      </c>
      <c r="G46" s="14">
        <f t="shared" si="3"/>
        <v>10980</v>
      </c>
      <c r="H46" s="14">
        <f t="shared" si="4"/>
        <v>10980</v>
      </c>
      <c r="I46" s="19">
        <v>10980</v>
      </c>
      <c r="J46" s="1" t="b">
        <f t="shared" si="5"/>
        <v>1</v>
      </c>
    </row>
    <row r="47" spans="1:10" x14ac:dyDescent="0.35">
      <c r="A47" s="1" t="s">
        <v>72</v>
      </c>
      <c r="B47" s="1" t="s">
        <v>29</v>
      </c>
      <c r="C47" s="1">
        <v>2023</v>
      </c>
      <c r="D47" s="14">
        <f>SUMIFS(Usage_Base!$C:$C,Usage_Base!$A:$A,A47,Usage_Base!$B:$B,C47)</f>
        <v>54900</v>
      </c>
      <c r="E47" s="1" t="str">
        <f>IF(COUNTIF(Assumptions!$A$18:$A$22,A47)&gt;0,A47,"BASELINE")</f>
        <v>BASELINE</v>
      </c>
      <c r="F47" s="11">
        <f>INDEX(Assumptions!$B$17:$E$22,MATCH(E47,Assumptions!$A$17:$A$22,0),MATCH(B47,Assumptions!$B$16:$E$16,0))</f>
        <v>0.25</v>
      </c>
      <c r="G47" s="14">
        <f t="shared" si="3"/>
        <v>13725</v>
      </c>
      <c r="H47" s="14">
        <f t="shared" si="4"/>
        <v>13725</v>
      </c>
      <c r="I47" s="19">
        <v>13725</v>
      </c>
      <c r="J47" s="1" t="b">
        <f t="shared" si="5"/>
        <v>1</v>
      </c>
    </row>
    <row r="48" spans="1:10" x14ac:dyDescent="0.35">
      <c r="A48" s="1" t="s">
        <v>72</v>
      </c>
      <c r="B48" s="1" t="s">
        <v>26</v>
      </c>
      <c r="C48" s="1">
        <v>2024</v>
      </c>
      <c r="D48" s="14">
        <f>SUMIFS(Usage_Base!$C:$C,Usage_Base!$A:$A,A48,Usage_Base!$B:$B,C48)</f>
        <v>56400</v>
      </c>
      <c r="E48" s="1" t="str">
        <f>IF(COUNTIF(Assumptions!$A$18:$A$22,A48)&gt;0,A48,"BASELINE")</f>
        <v>BASELINE</v>
      </c>
      <c r="F48" s="11">
        <f>INDEX(Assumptions!$B$17:$E$22,MATCH(E48,Assumptions!$A$17:$A$22,0),MATCH(B48,Assumptions!$B$16:$E$16,0))</f>
        <v>0.3</v>
      </c>
      <c r="G48" s="14">
        <f t="shared" si="3"/>
        <v>16920</v>
      </c>
      <c r="H48" s="14">
        <f t="shared" si="4"/>
        <v>16920</v>
      </c>
      <c r="I48" s="19">
        <v>16920</v>
      </c>
      <c r="J48" s="1" t="b">
        <f t="shared" si="5"/>
        <v>1</v>
      </c>
    </row>
    <row r="49" spans="1:10" x14ac:dyDescent="0.35">
      <c r="A49" s="1" t="s">
        <v>72</v>
      </c>
      <c r="B49" s="1" t="s">
        <v>27</v>
      </c>
      <c r="C49" s="1">
        <v>2024</v>
      </c>
      <c r="D49" s="14">
        <f>SUMIFS(Usage_Base!$C:$C,Usage_Base!$A:$A,A49,Usage_Base!$B:$B,C49)</f>
        <v>56400</v>
      </c>
      <c r="E49" s="1" t="str">
        <f>IF(COUNTIF(Assumptions!$A$18:$A$22,A49)&gt;0,A49,"BASELINE")</f>
        <v>BASELINE</v>
      </c>
      <c r="F49" s="11">
        <f>INDEX(Assumptions!$B$17:$E$22,MATCH(E49,Assumptions!$A$17:$A$22,0),MATCH(B49,Assumptions!$B$16:$E$16,0))</f>
        <v>0.25</v>
      </c>
      <c r="G49" s="14">
        <f t="shared" si="3"/>
        <v>14100</v>
      </c>
      <c r="H49" s="14">
        <f t="shared" si="4"/>
        <v>14100</v>
      </c>
      <c r="I49" s="19">
        <v>14100</v>
      </c>
      <c r="J49" s="1" t="b">
        <f t="shared" si="5"/>
        <v>1</v>
      </c>
    </row>
    <row r="50" spans="1:10" x14ac:dyDescent="0.35">
      <c r="A50" s="1" t="s">
        <v>72</v>
      </c>
      <c r="B50" s="1" t="s">
        <v>28</v>
      </c>
      <c r="C50" s="1">
        <v>2024</v>
      </c>
      <c r="D50" s="14">
        <f>SUMIFS(Usage_Base!$C:$C,Usage_Base!$A:$A,A50,Usage_Base!$B:$B,C50)</f>
        <v>56400</v>
      </c>
      <c r="E50" s="1" t="str">
        <f>IF(COUNTIF(Assumptions!$A$18:$A$22,A50)&gt;0,A50,"BASELINE")</f>
        <v>BASELINE</v>
      </c>
      <c r="F50" s="11">
        <f>INDEX(Assumptions!$B$17:$E$22,MATCH(E50,Assumptions!$A$17:$A$22,0),MATCH(B50,Assumptions!$B$16:$E$16,0))</f>
        <v>0.2</v>
      </c>
      <c r="G50" s="14">
        <f t="shared" si="3"/>
        <v>11280</v>
      </c>
      <c r="H50" s="14">
        <f t="shared" si="4"/>
        <v>11280</v>
      </c>
      <c r="I50" s="19">
        <v>11280</v>
      </c>
      <c r="J50" s="1" t="b">
        <f t="shared" si="5"/>
        <v>1</v>
      </c>
    </row>
    <row r="51" spans="1:10" x14ac:dyDescent="0.35">
      <c r="A51" s="1" t="s">
        <v>72</v>
      </c>
      <c r="B51" s="1" t="s">
        <v>29</v>
      </c>
      <c r="C51" s="1">
        <v>2024</v>
      </c>
      <c r="D51" s="14">
        <f>SUMIFS(Usage_Base!$C:$C,Usage_Base!$A:$A,A51,Usage_Base!$B:$B,C51)</f>
        <v>56400</v>
      </c>
      <c r="E51" s="1" t="str">
        <f>IF(COUNTIF(Assumptions!$A$18:$A$22,A51)&gt;0,A51,"BASELINE")</f>
        <v>BASELINE</v>
      </c>
      <c r="F51" s="11">
        <f>INDEX(Assumptions!$B$17:$E$22,MATCH(E51,Assumptions!$A$17:$A$22,0),MATCH(B51,Assumptions!$B$16:$E$16,0))</f>
        <v>0.25</v>
      </c>
      <c r="G51" s="14">
        <f t="shared" si="3"/>
        <v>14100</v>
      </c>
      <c r="H51" s="14">
        <f t="shared" si="4"/>
        <v>14100</v>
      </c>
      <c r="I51" s="19">
        <v>14100</v>
      </c>
      <c r="J51" s="1" t="b">
        <f t="shared" si="5"/>
        <v>1</v>
      </c>
    </row>
    <row r="52" spans="1:10" x14ac:dyDescent="0.35">
      <c r="A52" s="1" t="s">
        <v>52</v>
      </c>
      <c r="B52" s="1" t="s">
        <v>26</v>
      </c>
      <c r="C52" s="1">
        <v>2022</v>
      </c>
      <c r="D52" s="14">
        <f>SUMIFS(Usage_Base!$C:$C,Usage_Base!$A:$A,A52,Usage_Base!$B:$B,C52)</f>
        <v>52000</v>
      </c>
      <c r="E52" s="1" t="str">
        <f>IF(COUNTIF(Assumptions!$A$18:$A$22,A52)&gt;0,A52,"BASELINE")</f>
        <v>BASELINE</v>
      </c>
      <c r="F52" s="11">
        <f>INDEX(Assumptions!$B$17:$E$22,MATCH(E52,Assumptions!$A$17:$A$22,0),MATCH(B52,Assumptions!$B$16:$E$16,0))</f>
        <v>0.3</v>
      </c>
      <c r="G52" s="14">
        <f t="shared" si="3"/>
        <v>15600</v>
      </c>
      <c r="H52" s="14">
        <f t="shared" si="4"/>
        <v>15600</v>
      </c>
      <c r="I52" s="19">
        <v>15600</v>
      </c>
      <c r="J52" s="1" t="b">
        <f t="shared" si="5"/>
        <v>1</v>
      </c>
    </row>
    <row r="53" spans="1:10" x14ac:dyDescent="0.35">
      <c r="A53" s="1" t="s">
        <v>52</v>
      </c>
      <c r="B53" s="1" t="s">
        <v>27</v>
      </c>
      <c r="C53" s="1">
        <v>2022</v>
      </c>
      <c r="D53" s="14">
        <f>SUMIFS(Usage_Base!$C:$C,Usage_Base!$A:$A,A53,Usage_Base!$B:$B,C53)</f>
        <v>52000</v>
      </c>
      <c r="E53" s="1" t="str">
        <f>IF(COUNTIF(Assumptions!$A$18:$A$22,A53)&gt;0,A53,"BASELINE")</f>
        <v>BASELINE</v>
      </c>
      <c r="F53" s="11">
        <f>INDEX(Assumptions!$B$17:$E$22,MATCH(E53,Assumptions!$A$17:$A$22,0),MATCH(B53,Assumptions!$B$16:$E$16,0))</f>
        <v>0.25</v>
      </c>
      <c r="G53" s="14">
        <f t="shared" si="3"/>
        <v>13000</v>
      </c>
      <c r="H53" s="14">
        <f t="shared" si="4"/>
        <v>13000</v>
      </c>
      <c r="I53" s="19">
        <v>13000</v>
      </c>
      <c r="J53" s="1" t="b">
        <f t="shared" si="5"/>
        <v>1</v>
      </c>
    </row>
    <row r="54" spans="1:10" x14ac:dyDescent="0.35">
      <c r="A54" s="1" t="s">
        <v>52</v>
      </c>
      <c r="B54" s="1" t="s">
        <v>28</v>
      </c>
      <c r="C54" s="1">
        <v>2022</v>
      </c>
      <c r="D54" s="14">
        <f>SUMIFS(Usage_Base!$C:$C,Usage_Base!$A:$A,A54,Usage_Base!$B:$B,C54)</f>
        <v>52000</v>
      </c>
      <c r="E54" s="1" t="str">
        <f>IF(COUNTIF(Assumptions!$A$18:$A$22,A54)&gt;0,A54,"BASELINE")</f>
        <v>BASELINE</v>
      </c>
      <c r="F54" s="11">
        <f>INDEX(Assumptions!$B$17:$E$22,MATCH(E54,Assumptions!$A$17:$A$22,0),MATCH(B54,Assumptions!$B$16:$E$16,0))</f>
        <v>0.2</v>
      </c>
      <c r="G54" s="14">
        <f t="shared" si="3"/>
        <v>10400</v>
      </c>
      <c r="H54" s="14">
        <f t="shared" si="4"/>
        <v>10400</v>
      </c>
      <c r="I54" s="19">
        <v>10400</v>
      </c>
      <c r="J54" s="1" t="b">
        <f t="shared" si="5"/>
        <v>1</v>
      </c>
    </row>
    <row r="55" spans="1:10" x14ac:dyDescent="0.35">
      <c r="A55" s="1" t="s">
        <v>52</v>
      </c>
      <c r="B55" s="1" t="s">
        <v>29</v>
      </c>
      <c r="C55" s="1">
        <v>2022</v>
      </c>
      <c r="D55" s="14">
        <f>SUMIFS(Usage_Base!$C:$C,Usage_Base!$A:$A,A55,Usage_Base!$B:$B,C55)</f>
        <v>52000</v>
      </c>
      <c r="E55" s="1" t="str">
        <f>IF(COUNTIF(Assumptions!$A$18:$A$22,A55)&gt;0,A55,"BASELINE")</f>
        <v>BASELINE</v>
      </c>
      <c r="F55" s="11">
        <f>INDEX(Assumptions!$B$17:$E$22,MATCH(E55,Assumptions!$A$17:$A$22,0),MATCH(B55,Assumptions!$B$16:$E$16,0))</f>
        <v>0.25</v>
      </c>
      <c r="G55" s="14">
        <f t="shared" si="3"/>
        <v>13000</v>
      </c>
      <c r="H55" s="14">
        <f t="shared" si="4"/>
        <v>13000</v>
      </c>
      <c r="I55" s="19">
        <v>13000</v>
      </c>
      <c r="J55" s="1" t="b">
        <f t="shared" si="5"/>
        <v>1</v>
      </c>
    </row>
    <row r="56" spans="1:10" x14ac:dyDescent="0.35">
      <c r="A56" s="1" t="s">
        <v>52</v>
      </c>
      <c r="B56" s="1" t="s">
        <v>26</v>
      </c>
      <c r="C56" s="1">
        <v>2023</v>
      </c>
      <c r="D56" s="14">
        <f>SUMIFS(Usage_Base!$C:$C,Usage_Base!$A:$A,A56,Usage_Base!$B:$B,C56)</f>
        <v>53100</v>
      </c>
      <c r="E56" s="1" t="str">
        <f>IF(COUNTIF(Assumptions!$A$18:$A$22,A56)&gt;0,A56,"BASELINE")</f>
        <v>BASELINE</v>
      </c>
      <c r="F56" s="11">
        <f>INDEX(Assumptions!$B$17:$E$22,MATCH(E56,Assumptions!$A$17:$A$22,0),MATCH(B56,Assumptions!$B$16:$E$16,0))</f>
        <v>0.3</v>
      </c>
      <c r="G56" s="14">
        <f t="shared" si="3"/>
        <v>15930</v>
      </c>
      <c r="H56" s="14">
        <f t="shared" si="4"/>
        <v>15930</v>
      </c>
      <c r="I56" s="19">
        <v>15930</v>
      </c>
      <c r="J56" s="1" t="b">
        <f t="shared" si="5"/>
        <v>1</v>
      </c>
    </row>
    <row r="57" spans="1:10" x14ac:dyDescent="0.35">
      <c r="A57" s="1" t="s">
        <v>52</v>
      </c>
      <c r="B57" s="1" t="s">
        <v>27</v>
      </c>
      <c r="C57" s="1">
        <v>2023</v>
      </c>
      <c r="D57" s="14">
        <f>SUMIFS(Usage_Base!$C:$C,Usage_Base!$A:$A,A57,Usage_Base!$B:$B,C57)</f>
        <v>53100</v>
      </c>
      <c r="E57" s="1" t="str">
        <f>IF(COUNTIF(Assumptions!$A$18:$A$22,A57)&gt;0,A57,"BASELINE")</f>
        <v>BASELINE</v>
      </c>
      <c r="F57" s="11">
        <f>INDEX(Assumptions!$B$17:$E$22,MATCH(E57,Assumptions!$A$17:$A$22,0),MATCH(B57,Assumptions!$B$16:$E$16,0))</f>
        <v>0.25</v>
      </c>
      <c r="G57" s="14">
        <f t="shared" si="3"/>
        <v>13275</v>
      </c>
      <c r="H57" s="14">
        <f t="shared" si="4"/>
        <v>13275</v>
      </c>
      <c r="I57" s="19">
        <v>13275</v>
      </c>
      <c r="J57" s="1" t="b">
        <f t="shared" si="5"/>
        <v>1</v>
      </c>
    </row>
    <row r="58" spans="1:10" x14ac:dyDescent="0.35">
      <c r="A58" s="1" t="s">
        <v>52</v>
      </c>
      <c r="B58" s="1" t="s">
        <v>28</v>
      </c>
      <c r="C58" s="1">
        <v>2023</v>
      </c>
      <c r="D58" s="14">
        <f>SUMIFS(Usage_Base!$C:$C,Usage_Base!$A:$A,A58,Usage_Base!$B:$B,C58)</f>
        <v>53100</v>
      </c>
      <c r="E58" s="1" t="str">
        <f>IF(COUNTIF(Assumptions!$A$18:$A$22,A58)&gt;0,A58,"BASELINE")</f>
        <v>BASELINE</v>
      </c>
      <c r="F58" s="11">
        <f>INDEX(Assumptions!$B$17:$E$22,MATCH(E58,Assumptions!$A$17:$A$22,0),MATCH(B58,Assumptions!$B$16:$E$16,0))</f>
        <v>0.2</v>
      </c>
      <c r="G58" s="14">
        <f t="shared" si="3"/>
        <v>10620</v>
      </c>
      <c r="H58" s="14">
        <f t="shared" si="4"/>
        <v>10620</v>
      </c>
      <c r="I58" s="19">
        <v>10620</v>
      </c>
      <c r="J58" s="1" t="b">
        <f t="shared" si="5"/>
        <v>1</v>
      </c>
    </row>
    <row r="59" spans="1:10" x14ac:dyDescent="0.35">
      <c r="A59" s="1" t="s">
        <v>52</v>
      </c>
      <c r="B59" s="1" t="s">
        <v>29</v>
      </c>
      <c r="C59" s="1">
        <v>2023</v>
      </c>
      <c r="D59" s="14">
        <f>SUMIFS(Usage_Base!$C:$C,Usage_Base!$A:$A,A59,Usage_Base!$B:$B,C59)</f>
        <v>53100</v>
      </c>
      <c r="E59" s="1" t="str">
        <f>IF(COUNTIF(Assumptions!$A$18:$A$22,A59)&gt;0,A59,"BASELINE")</f>
        <v>BASELINE</v>
      </c>
      <c r="F59" s="11">
        <f>INDEX(Assumptions!$B$17:$E$22,MATCH(E59,Assumptions!$A$17:$A$22,0),MATCH(B59,Assumptions!$B$16:$E$16,0))</f>
        <v>0.25</v>
      </c>
      <c r="G59" s="14">
        <f t="shared" si="3"/>
        <v>13275</v>
      </c>
      <c r="H59" s="14">
        <f t="shared" si="4"/>
        <v>13275</v>
      </c>
      <c r="I59" s="19">
        <v>13275</v>
      </c>
      <c r="J59" s="1" t="b">
        <f t="shared" si="5"/>
        <v>1</v>
      </c>
    </row>
    <row r="60" spans="1:10" x14ac:dyDescent="0.35">
      <c r="A60" s="1" t="s">
        <v>52</v>
      </c>
      <c r="B60" s="1" t="s">
        <v>26</v>
      </c>
      <c r="C60" s="1">
        <v>2024</v>
      </c>
      <c r="D60" s="14">
        <f>SUMIFS(Usage_Base!$C:$C,Usage_Base!$A:$A,A60,Usage_Base!$B:$B,C60)</f>
        <v>53900</v>
      </c>
      <c r="E60" s="1" t="str">
        <f>IF(COUNTIF(Assumptions!$A$18:$A$22,A60)&gt;0,A60,"BASELINE")</f>
        <v>BASELINE</v>
      </c>
      <c r="F60" s="11">
        <f>INDEX(Assumptions!$B$17:$E$22,MATCH(E60,Assumptions!$A$17:$A$22,0),MATCH(B60,Assumptions!$B$16:$E$16,0))</f>
        <v>0.3</v>
      </c>
      <c r="G60" s="14">
        <f t="shared" si="3"/>
        <v>16170</v>
      </c>
      <c r="H60" s="14">
        <f t="shared" si="4"/>
        <v>16170</v>
      </c>
      <c r="I60" s="19">
        <v>16170</v>
      </c>
      <c r="J60" s="1" t="b">
        <f t="shared" si="5"/>
        <v>1</v>
      </c>
    </row>
    <row r="61" spans="1:10" x14ac:dyDescent="0.35">
      <c r="A61" s="1" t="s">
        <v>52</v>
      </c>
      <c r="B61" s="1" t="s">
        <v>27</v>
      </c>
      <c r="C61" s="1">
        <v>2024</v>
      </c>
      <c r="D61" s="14">
        <f>SUMIFS(Usage_Base!$C:$C,Usage_Base!$A:$A,A61,Usage_Base!$B:$B,C61)</f>
        <v>53900</v>
      </c>
      <c r="E61" s="1" t="str">
        <f>IF(COUNTIF(Assumptions!$A$18:$A$22,A61)&gt;0,A61,"BASELINE")</f>
        <v>BASELINE</v>
      </c>
      <c r="F61" s="11">
        <f>INDEX(Assumptions!$B$17:$E$22,MATCH(E61,Assumptions!$A$17:$A$22,0),MATCH(B61,Assumptions!$B$16:$E$16,0))</f>
        <v>0.25</v>
      </c>
      <c r="G61" s="14">
        <f t="shared" si="3"/>
        <v>13475</v>
      </c>
      <c r="H61" s="14">
        <f t="shared" si="4"/>
        <v>13475</v>
      </c>
      <c r="I61" s="19">
        <v>13475</v>
      </c>
      <c r="J61" s="1" t="b">
        <f t="shared" si="5"/>
        <v>1</v>
      </c>
    </row>
    <row r="62" spans="1:10" x14ac:dyDescent="0.35">
      <c r="A62" s="1" t="s">
        <v>52</v>
      </c>
      <c r="B62" s="1" t="s">
        <v>28</v>
      </c>
      <c r="C62" s="1">
        <v>2024</v>
      </c>
      <c r="D62" s="14">
        <f>SUMIFS(Usage_Base!$C:$C,Usage_Base!$A:$A,A62,Usage_Base!$B:$B,C62)</f>
        <v>53900</v>
      </c>
      <c r="E62" s="1" t="str">
        <f>IF(COUNTIF(Assumptions!$A$18:$A$22,A62)&gt;0,A62,"BASELINE")</f>
        <v>BASELINE</v>
      </c>
      <c r="F62" s="11">
        <f>INDEX(Assumptions!$B$17:$E$22,MATCH(E62,Assumptions!$A$17:$A$22,0),MATCH(B62,Assumptions!$B$16:$E$16,0))</f>
        <v>0.2</v>
      </c>
      <c r="G62" s="14">
        <f t="shared" si="3"/>
        <v>10780</v>
      </c>
      <c r="H62" s="14">
        <f t="shared" si="4"/>
        <v>10780</v>
      </c>
      <c r="I62" s="19">
        <v>10780</v>
      </c>
      <c r="J62" s="1" t="b">
        <f t="shared" si="5"/>
        <v>1</v>
      </c>
    </row>
    <row r="63" spans="1:10" x14ac:dyDescent="0.35">
      <c r="A63" s="1" t="s">
        <v>52</v>
      </c>
      <c r="B63" s="1" t="s">
        <v>29</v>
      </c>
      <c r="C63" s="1">
        <v>2024</v>
      </c>
      <c r="D63" s="14">
        <f>SUMIFS(Usage_Base!$C:$C,Usage_Base!$A:$A,A63,Usage_Base!$B:$B,C63)</f>
        <v>53900</v>
      </c>
      <c r="E63" s="1" t="str">
        <f>IF(COUNTIF(Assumptions!$A$18:$A$22,A63)&gt;0,A63,"BASELINE")</f>
        <v>BASELINE</v>
      </c>
      <c r="F63" s="11">
        <f>INDEX(Assumptions!$B$17:$E$22,MATCH(E63,Assumptions!$A$17:$A$22,0),MATCH(B63,Assumptions!$B$16:$E$16,0))</f>
        <v>0.25</v>
      </c>
      <c r="G63" s="14">
        <f t="shared" si="3"/>
        <v>13475</v>
      </c>
      <c r="H63" s="14">
        <f t="shared" si="4"/>
        <v>13475</v>
      </c>
      <c r="I63" s="19">
        <v>13475</v>
      </c>
      <c r="J63" s="1" t="b">
        <f t="shared" si="5"/>
        <v>1</v>
      </c>
    </row>
    <row r="64" spans="1:10" x14ac:dyDescent="0.35">
      <c r="A64" s="1" t="s">
        <v>75</v>
      </c>
      <c r="B64" s="1" t="s">
        <v>26</v>
      </c>
      <c r="C64" s="1">
        <v>2022</v>
      </c>
      <c r="D64" s="14">
        <f>SUMIFS(Usage_Base!$C:$C,Usage_Base!$A:$A,A64,Usage_Base!$B:$B,C64)</f>
        <v>14800</v>
      </c>
      <c r="E64" s="1" t="str">
        <f>IF(COUNTIF(Assumptions!$A$18:$A$22,A64)&gt;0,A64,"BASELINE")</f>
        <v>BASELINE</v>
      </c>
      <c r="F64" s="11">
        <f>INDEX(Assumptions!$B$17:$E$22,MATCH(E64,Assumptions!$A$17:$A$22,0),MATCH(B64,Assumptions!$B$16:$E$16,0))</f>
        <v>0.3</v>
      </c>
      <c r="G64" s="14">
        <f t="shared" si="3"/>
        <v>4440</v>
      </c>
      <c r="H64" s="14">
        <f t="shared" si="4"/>
        <v>4440</v>
      </c>
      <c r="I64" s="19">
        <v>4440</v>
      </c>
      <c r="J64" s="1" t="b">
        <f t="shared" si="5"/>
        <v>1</v>
      </c>
    </row>
    <row r="65" spans="1:10" x14ac:dyDescent="0.35">
      <c r="A65" s="1" t="s">
        <v>75</v>
      </c>
      <c r="B65" s="1" t="s">
        <v>27</v>
      </c>
      <c r="C65" s="1">
        <v>2022</v>
      </c>
      <c r="D65" s="14">
        <f>SUMIFS(Usage_Base!$C:$C,Usage_Base!$A:$A,A65,Usage_Base!$B:$B,C65)</f>
        <v>14800</v>
      </c>
      <c r="E65" s="1" t="str">
        <f>IF(COUNTIF(Assumptions!$A$18:$A$22,A65)&gt;0,A65,"BASELINE")</f>
        <v>BASELINE</v>
      </c>
      <c r="F65" s="11">
        <f>INDEX(Assumptions!$B$17:$E$22,MATCH(E65,Assumptions!$A$17:$A$22,0),MATCH(B65,Assumptions!$B$16:$E$16,0))</f>
        <v>0.25</v>
      </c>
      <c r="G65" s="14">
        <f t="shared" si="3"/>
        <v>3700</v>
      </c>
      <c r="H65" s="14">
        <f t="shared" si="4"/>
        <v>3700</v>
      </c>
      <c r="I65" s="19">
        <v>3700</v>
      </c>
      <c r="J65" s="1" t="b">
        <f t="shared" si="5"/>
        <v>1</v>
      </c>
    </row>
    <row r="66" spans="1:10" x14ac:dyDescent="0.35">
      <c r="A66" s="1" t="s">
        <v>75</v>
      </c>
      <c r="B66" s="1" t="s">
        <v>28</v>
      </c>
      <c r="C66" s="1">
        <v>2022</v>
      </c>
      <c r="D66" s="14">
        <f>SUMIFS(Usage_Base!$C:$C,Usage_Base!$A:$A,A66,Usage_Base!$B:$B,C66)</f>
        <v>14800</v>
      </c>
      <c r="E66" s="1" t="str">
        <f>IF(COUNTIF(Assumptions!$A$18:$A$22,A66)&gt;0,A66,"BASELINE")</f>
        <v>BASELINE</v>
      </c>
      <c r="F66" s="11">
        <f>INDEX(Assumptions!$B$17:$E$22,MATCH(E66,Assumptions!$A$17:$A$22,0),MATCH(B66,Assumptions!$B$16:$E$16,0))</f>
        <v>0.2</v>
      </c>
      <c r="G66" s="14">
        <f t="shared" si="3"/>
        <v>2960</v>
      </c>
      <c r="H66" s="14">
        <f t="shared" si="4"/>
        <v>2960</v>
      </c>
      <c r="I66" s="19">
        <v>2960</v>
      </c>
      <c r="J66" s="1" t="b">
        <f t="shared" si="5"/>
        <v>1</v>
      </c>
    </row>
    <row r="67" spans="1:10" x14ac:dyDescent="0.35">
      <c r="A67" s="1" t="s">
        <v>75</v>
      </c>
      <c r="B67" s="1" t="s">
        <v>29</v>
      </c>
      <c r="C67" s="1">
        <v>2022</v>
      </c>
      <c r="D67" s="14">
        <f>SUMIFS(Usage_Base!$C:$C,Usage_Base!$A:$A,A67,Usage_Base!$B:$B,C67)</f>
        <v>14800</v>
      </c>
      <c r="E67" s="1" t="str">
        <f>IF(COUNTIF(Assumptions!$A$18:$A$22,A67)&gt;0,A67,"BASELINE")</f>
        <v>BASELINE</v>
      </c>
      <c r="F67" s="11">
        <f>INDEX(Assumptions!$B$17:$E$22,MATCH(E67,Assumptions!$A$17:$A$22,0),MATCH(B67,Assumptions!$B$16:$E$16,0))</f>
        <v>0.25</v>
      </c>
      <c r="G67" s="14">
        <f t="shared" si="3"/>
        <v>3700</v>
      </c>
      <c r="H67" s="14">
        <f t="shared" si="4"/>
        <v>3700</v>
      </c>
      <c r="I67" s="19">
        <v>3700</v>
      </c>
      <c r="J67" s="1" t="b">
        <f t="shared" si="5"/>
        <v>1</v>
      </c>
    </row>
    <row r="68" spans="1:10" x14ac:dyDescent="0.35">
      <c r="A68" s="1" t="s">
        <v>75</v>
      </c>
      <c r="B68" s="1" t="s">
        <v>26</v>
      </c>
      <c r="C68" s="1">
        <v>2023</v>
      </c>
      <c r="D68" s="14">
        <f>SUMIFS(Usage_Base!$C:$C,Usage_Base!$A:$A,A68,Usage_Base!$B:$B,C68)</f>
        <v>14800</v>
      </c>
      <c r="E68" s="1" t="str">
        <f>IF(COUNTIF(Assumptions!$A$18:$A$22,A68)&gt;0,A68,"BASELINE")</f>
        <v>BASELINE</v>
      </c>
      <c r="F68" s="11">
        <f>INDEX(Assumptions!$B$17:$E$22,MATCH(E68,Assumptions!$A$17:$A$22,0),MATCH(B68,Assumptions!$B$16:$E$16,0))</f>
        <v>0.3</v>
      </c>
      <c r="G68" s="14">
        <f t="shared" ref="G68:G99" si="6">IF(ROUND(MOD(D68*F68,1),9)=0.5,2*ROUND((D68*F68)/2,0),ROUND(D68*F68,0))</f>
        <v>4440</v>
      </c>
      <c r="H68" s="14">
        <f t="shared" ref="H68:H99" si="7">IF(B68="AHSS",D68-SUMIFS($G:$G,$A:$A,A68,$C:$C,C68,$B:$B,"&lt;&gt;AHSS"),G68)</f>
        <v>4440</v>
      </c>
      <c r="I68" s="19">
        <v>4440</v>
      </c>
      <c r="J68" s="1" t="b">
        <f t="shared" ref="J68:J99" si="8">H68=I68</f>
        <v>1</v>
      </c>
    </row>
    <row r="69" spans="1:10" x14ac:dyDescent="0.35">
      <c r="A69" s="1" t="s">
        <v>75</v>
      </c>
      <c r="B69" s="1" t="s">
        <v>27</v>
      </c>
      <c r="C69" s="1">
        <v>2023</v>
      </c>
      <c r="D69" s="14">
        <f>SUMIFS(Usage_Base!$C:$C,Usage_Base!$A:$A,A69,Usage_Base!$B:$B,C69)</f>
        <v>14800</v>
      </c>
      <c r="E69" s="1" t="str">
        <f>IF(COUNTIF(Assumptions!$A$18:$A$22,A69)&gt;0,A69,"BASELINE")</f>
        <v>BASELINE</v>
      </c>
      <c r="F69" s="11">
        <f>INDEX(Assumptions!$B$17:$E$22,MATCH(E69,Assumptions!$A$17:$A$22,0),MATCH(B69,Assumptions!$B$16:$E$16,0))</f>
        <v>0.25</v>
      </c>
      <c r="G69" s="14">
        <f t="shared" si="6"/>
        <v>3700</v>
      </c>
      <c r="H69" s="14">
        <f t="shared" si="7"/>
        <v>3700</v>
      </c>
      <c r="I69" s="19">
        <v>3700</v>
      </c>
      <c r="J69" s="1" t="b">
        <f t="shared" si="8"/>
        <v>1</v>
      </c>
    </row>
    <row r="70" spans="1:10" x14ac:dyDescent="0.35">
      <c r="A70" s="1" t="s">
        <v>75</v>
      </c>
      <c r="B70" s="1" t="s">
        <v>28</v>
      </c>
      <c r="C70" s="1">
        <v>2023</v>
      </c>
      <c r="D70" s="14">
        <f>SUMIFS(Usage_Base!$C:$C,Usage_Base!$A:$A,A70,Usage_Base!$B:$B,C70)</f>
        <v>14800</v>
      </c>
      <c r="E70" s="1" t="str">
        <f>IF(COUNTIF(Assumptions!$A$18:$A$22,A70)&gt;0,A70,"BASELINE")</f>
        <v>BASELINE</v>
      </c>
      <c r="F70" s="11">
        <f>INDEX(Assumptions!$B$17:$E$22,MATCH(E70,Assumptions!$A$17:$A$22,0),MATCH(B70,Assumptions!$B$16:$E$16,0))</f>
        <v>0.2</v>
      </c>
      <c r="G70" s="14">
        <f t="shared" si="6"/>
        <v>2960</v>
      </c>
      <c r="H70" s="14">
        <f t="shared" si="7"/>
        <v>2960</v>
      </c>
      <c r="I70" s="19">
        <v>2960</v>
      </c>
      <c r="J70" s="1" t="b">
        <f t="shared" si="8"/>
        <v>1</v>
      </c>
    </row>
    <row r="71" spans="1:10" x14ac:dyDescent="0.35">
      <c r="A71" s="1" t="s">
        <v>75</v>
      </c>
      <c r="B71" s="1" t="s">
        <v>29</v>
      </c>
      <c r="C71" s="1">
        <v>2023</v>
      </c>
      <c r="D71" s="14">
        <f>SUMIFS(Usage_Base!$C:$C,Usage_Base!$A:$A,A71,Usage_Base!$B:$B,C71)</f>
        <v>14800</v>
      </c>
      <c r="E71" s="1" t="str">
        <f>IF(COUNTIF(Assumptions!$A$18:$A$22,A71)&gt;0,A71,"BASELINE")</f>
        <v>BASELINE</v>
      </c>
      <c r="F71" s="11">
        <f>INDEX(Assumptions!$B$17:$E$22,MATCH(E71,Assumptions!$A$17:$A$22,0),MATCH(B71,Assumptions!$B$16:$E$16,0))</f>
        <v>0.25</v>
      </c>
      <c r="G71" s="14">
        <f t="shared" si="6"/>
        <v>3700</v>
      </c>
      <c r="H71" s="14">
        <f t="shared" si="7"/>
        <v>3700</v>
      </c>
      <c r="I71" s="19">
        <v>3700</v>
      </c>
      <c r="J71" s="1" t="b">
        <f t="shared" si="8"/>
        <v>1</v>
      </c>
    </row>
    <row r="72" spans="1:10" x14ac:dyDescent="0.35">
      <c r="A72" s="1" t="s">
        <v>75</v>
      </c>
      <c r="B72" s="1" t="s">
        <v>26</v>
      </c>
      <c r="C72" s="1">
        <v>2024</v>
      </c>
      <c r="D72" s="14">
        <f>SUMIFS(Usage_Base!$C:$C,Usage_Base!$A:$A,A72,Usage_Base!$B:$B,C72)</f>
        <v>14800</v>
      </c>
      <c r="E72" s="1" t="str">
        <f>IF(COUNTIF(Assumptions!$A$18:$A$22,A72)&gt;0,A72,"BASELINE")</f>
        <v>BASELINE</v>
      </c>
      <c r="F72" s="11">
        <f>INDEX(Assumptions!$B$17:$E$22,MATCH(E72,Assumptions!$A$17:$A$22,0),MATCH(B72,Assumptions!$B$16:$E$16,0))</f>
        <v>0.3</v>
      </c>
      <c r="G72" s="14">
        <f t="shared" si="6"/>
        <v>4440</v>
      </c>
      <c r="H72" s="14">
        <f t="shared" si="7"/>
        <v>4440</v>
      </c>
      <c r="I72" s="19">
        <v>4440</v>
      </c>
      <c r="J72" s="1" t="b">
        <f t="shared" si="8"/>
        <v>1</v>
      </c>
    </row>
    <row r="73" spans="1:10" x14ac:dyDescent="0.35">
      <c r="A73" s="1" t="s">
        <v>75</v>
      </c>
      <c r="B73" s="1" t="s">
        <v>27</v>
      </c>
      <c r="C73" s="1">
        <v>2024</v>
      </c>
      <c r="D73" s="14">
        <f>SUMIFS(Usage_Base!$C:$C,Usage_Base!$A:$A,A73,Usage_Base!$B:$B,C73)</f>
        <v>14800</v>
      </c>
      <c r="E73" s="1" t="str">
        <f>IF(COUNTIF(Assumptions!$A$18:$A$22,A73)&gt;0,A73,"BASELINE")</f>
        <v>BASELINE</v>
      </c>
      <c r="F73" s="11">
        <f>INDEX(Assumptions!$B$17:$E$22,MATCH(E73,Assumptions!$A$17:$A$22,0),MATCH(B73,Assumptions!$B$16:$E$16,0))</f>
        <v>0.25</v>
      </c>
      <c r="G73" s="14">
        <f t="shared" si="6"/>
        <v>3700</v>
      </c>
      <c r="H73" s="14">
        <f t="shared" si="7"/>
        <v>3700</v>
      </c>
      <c r="I73" s="19">
        <v>3700</v>
      </c>
      <c r="J73" s="1" t="b">
        <f t="shared" si="8"/>
        <v>1</v>
      </c>
    </row>
    <row r="74" spans="1:10" x14ac:dyDescent="0.35">
      <c r="A74" s="1" t="s">
        <v>75</v>
      </c>
      <c r="B74" s="1" t="s">
        <v>28</v>
      </c>
      <c r="C74" s="1">
        <v>2024</v>
      </c>
      <c r="D74" s="14">
        <f>SUMIFS(Usage_Base!$C:$C,Usage_Base!$A:$A,A74,Usage_Base!$B:$B,C74)</f>
        <v>14800</v>
      </c>
      <c r="E74" s="1" t="str">
        <f>IF(COUNTIF(Assumptions!$A$18:$A$22,A74)&gt;0,A74,"BASELINE")</f>
        <v>BASELINE</v>
      </c>
      <c r="F74" s="11">
        <f>INDEX(Assumptions!$B$17:$E$22,MATCH(E74,Assumptions!$A$17:$A$22,0),MATCH(B74,Assumptions!$B$16:$E$16,0))</f>
        <v>0.2</v>
      </c>
      <c r="G74" s="14">
        <f t="shared" si="6"/>
        <v>2960</v>
      </c>
      <c r="H74" s="14">
        <f t="shared" si="7"/>
        <v>2960</v>
      </c>
      <c r="I74" s="19">
        <v>2960</v>
      </c>
      <c r="J74" s="1" t="b">
        <f t="shared" si="8"/>
        <v>1</v>
      </c>
    </row>
    <row r="75" spans="1:10" x14ac:dyDescent="0.35">
      <c r="A75" s="1" t="s">
        <v>75</v>
      </c>
      <c r="B75" s="1" t="s">
        <v>29</v>
      </c>
      <c r="C75" s="1">
        <v>2024</v>
      </c>
      <c r="D75" s="14">
        <f>SUMIFS(Usage_Base!$C:$C,Usage_Base!$A:$A,A75,Usage_Base!$B:$B,C75)</f>
        <v>14800</v>
      </c>
      <c r="E75" s="1" t="str">
        <f>IF(COUNTIF(Assumptions!$A$18:$A$22,A75)&gt;0,A75,"BASELINE")</f>
        <v>BASELINE</v>
      </c>
      <c r="F75" s="11">
        <f>INDEX(Assumptions!$B$17:$E$22,MATCH(E75,Assumptions!$A$17:$A$22,0),MATCH(B75,Assumptions!$B$16:$E$16,0))</f>
        <v>0.25</v>
      </c>
      <c r="G75" s="14">
        <f t="shared" si="6"/>
        <v>3700</v>
      </c>
      <c r="H75" s="14">
        <f t="shared" si="7"/>
        <v>3700</v>
      </c>
      <c r="I75" s="19">
        <v>3700</v>
      </c>
      <c r="J75" s="1" t="b">
        <f t="shared" si="8"/>
        <v>1</v>
      </c>
    </row>
    <row r="76" spans="1:10" x14ac:dyDescent="0.35">
      <c r="A76" s="1" t="s">
        <v>37</v>
      </c>
      <c r="B76" s="1" t="s">
        <v>26</v>
      </c>
      <c r="C76" s="1">
        <v>2022</v>
      </c>
      <c r="D76" s="14">
        <f>SUMIFS(Usage_Base!$C:$C,Usage_Base!$A:$A,A76,Usage_Base!$B:$B,C76)</f>
        <v>4400</v>
      </c>
      <c r="E76" s="1" t="str">
        <f>IF(COUNTIF(Assumptions!$A$18:$A$22,A76)&gt;0,A76,"BASELINE")</f>
        <v>EMERALD</v>
      </c>
      <c r="F76" s="11">
        <f>INDEX(Assumptions!$B$17:$E$22,MATCH(E76,Assumptions!$A$17:$A$22,0),MATCH(B76,Assumptions!$B$16:$E$16,0))</f>
        <v>0.08</v>
      </c>
      <c r="G76" s="14">
        <f t="shared" si="6"/>
        <v>352</v>
      </c>
      <c r="H76" s="14">
        <f t="shared" si="7"/>
        <v>352</v>
      </c>
      <c r="I76" s="19">
        <v>352</v>
      </c>
      <c r="J76" s="1" t="b">
        <f t="shared" si="8"/>
        <v>1</v>
      </c>
    </row>
    <row r="77" spans="1:10" x14ac:dyDescent="0.35">
      <c r="A77" s="1" t="s">
        <v>37</v>
      </c>
      <c r="B77" s="1" t="s">
        <v>27</v>
      </c>
      <c r="C77" s="1">
        <v>2022</v>
      </c>
      <c r="D77" s="14">
        <f>SUMIFS(Usage_Base!$C:$C,Usage_Base!$A:$A,A77,Usage_Base!$B:$B,C77)</f>
        <v>4400</v>
      </c>
      <c r="E77" s="1" t="str">
        <f>IF(COUNTIF(Assumptions!$A$18:$A$22,A77)&gt;0,A77,"BASELINE")</f>
        <v>EMERALD</v>
      </c>
      <c r="F77" s="11">
        <f>INDEX(Assumptions!$B$17:$E$22,MATCH(E77,Assumptions!$A$17:$A$22,0),MATCH(B77,Assumptions!$B$16:$E$16,0))</f>
        <v>0.68</v>
      </c>
      <c r="G77" s="14">
        <f t="shared" si="6"/>
        <v>2992</v>
      </c>
      <c r="H77" s="14">
        <f t="shared" si="7"/>
        <v>2992</v>
      </c>
      <c r="I77" s="19">
        <v>2992</v>
      </c>
      <c r="J77" s="1" t="b">
        <f t="shared" si="8"/>
        <v>1</v>
      </c>
    </row>
    <row r="78" spans="1:10" x14ac:dyDescent="0.35">
      <c r="A78" s="1" t="s">
        <v>37</v>
      </c>
      <c r="B78" s="1" t="s">
        <v>28</v>
      </c>
      <c r="C78" s="1">
        <v>2022</v>
      </c>
      <c r="D78" s="14">
        <f>SUMIFS(Usage_Base!$C:$C,Usage_Base!$A:$A,A78,Usage_Base!$B:$B,C78)</f>
        <v>4400</v>
      </c>
      <c r="E78" s="1" t="str">
        <f>IF(COUNTIF(Assumptions!$A$18:$A$22,A78)&gt;0,A78,"BASELINE")</f>
        <v>EMERALD</v>
      </c>
      <c r="F78" s="11">
        <f>INDEX(Assumptions!$B$17:$E$22,MATCH(E78,Assumptions!$A$17:$A$22,0),MATCH(B78,Assumptions!$B$16:$E$16,0))</f>
        <v>0.08</v>
      </c>
      <c r="G78" s="14">
        <f t="shared" si="6"/>
        <v>352</v>
      </c>
      <c r="H78" s="14">
        <f t="shared" si="7"/>
        <v>352</v>
      </c>
      <c r="I78" s="19">
        <v>352</v>
      </c>
      <c r="J78" s="1" t="b">
        <f t="shared" si="8"/>
        <v>1</v>
      </c>
    </row>
    <row r="79" spans="1:10" x14ac:dyDescent="0.35">
      <c r="A79" s="1" t="s">
        <v>37</v>
      </c>
      <c r="B79" s="1" t="s">
        <v>29</v>
      </c>
      <c r="C79" s="1">
        <v>2022</v>
      </c>
      <c r="D79" s="14">
        <f>SUMIFS(Usage_Base!$C:$C,Usage_Base!$A:$A,A79,Usage_Base!$B:$B,C79)</f>
        <v>4400</v>
      </c>
      <c r="E79" s="1" t="str">
        <f>IF(COUNTIF(Assumptions!$A$18:$A$22,A79)&gt;0,A79,"BASELINE")</f>
        <v>EMERALD</v>
      </c>
      <c r="F79" s="11">
        <f>INDEX(Assumptions!$B$17:$E$22,MATCH(E79,Assumptions!$A$17:$A$22,0),MATCH(B79,Assumptions!$B$16:$E$16,0))</f>
        <v>0.16</v>
      </c>
      <c r="G79" s="14">
        <f t="shared" si="6"/>
        <v>704</v>
      </c>
      <c r="H79" s="14">
        <f t="shared" si="7"/>
        <v>704</v>
      </c>
      <c r="I79" s="19">
        <v>704</v>
      </c>
      <c r="J79" s="1" t="b">
        <f t="shared" si="8"/>
        <v>1</v>
      </c>
    </row>
    <row r="80" spans="1:10" x14ac:dyDescent="0.35">
      <c r="A80" s="1" t="s">
        <v>37</v>
      </c>
      <c r="B80" s="1" t="s">
        <v>26</v>
      </c>
      <c r="C80" s="1">
        <v>2023</v>
      </c>
      <c r="D80" s="14">
        <f>SUMIFS(Usage_Base!$C:$C,Usage_Base!$A:$A,A80,Usage_Base!$B:$B,C80)</f>
        <v>4530</v>
      </c>
      <c r="E80" s="1" t="str">
        <f>IF(COUNTIF(Assumptions!$A$18:$A$22,A80)&gt;0,A80,"BASELINE")</f>
        <v>EMERALD</v>
      </c>
      <c r="F80" s="11">
        <f>INDEX(Assumptions!$B$17:$E$22,MATCH(E80,Assumptions!$A$17:$A$22,0),MATCH(B80,Assumptions!$B$16:$E$16,0))</f>
        <v>0.08</v>
      </c>
      <c r="G80" s="14">
        <f t="shared" si="6"/>
        <v>362</v>
      </c>
      <c r="H80" s="14">
        <f t="shared" si="7"/>
        <v>362</v>
      </c>
      <c r="I80" s="19">
        <v>362</v>
      </c>
      <c r="J80" s="1" t="b">
        <f t="shared" si="8"/>
        <v>1</v>
      </c>
    </row>
    <row r="81" spans="1:10" x14ac:dyDescent="0.35">
      <c r="A81" s="1" t="s">
        <v>37</v>
      </c>
      <c r="B81" s="1" t="s">
        <v>27</v>
      </c>
      <c r="C81" s="1">
        <v>2023</v>
      </c>
      <c r="D81" s="14">
        <f>SUMIFS(Usage_Base!$C:$C,Usage_Base!$A:$A,A81,Usage_Base!$B:$B,C81)</f>
        <v>4530</v>
      </c>
      <c r="E81" s="1" t="str">
        <f>IF(COUNTIF(Assumptions!$A$18:$A$22,A81)&gt;0,A81,"BASELINE")</f>
        <v>EMERALD</v>
      </c>
      <c r="F81" s="11">
        <f>INDEX(Assumptions!$B$17:$E$22,MATCH(E81,Assumptions!$A$17:$A$22,0),MATCH(B81,Assumptions!$B$16:$E$16,0))</f>
        <v>0.68</v>
      </c>
      <c r="G81" s="14">
        <f t="shared" si="6"/>
        <v>3080</v>
      </c>
      <c r="H81" s="14">
        <f t="shared" si="7"/>
        <v>3080</v>
      </c>
      <c r="I81" s="19">
        <v>3080</v>
      </c>
      <c r="J81" s="1" t="b">
        <f t="shared" si="8"/>
        <v>1</v>
      </c>
    </row>
    <row r="82" spans="1:10" x14ac:dyDescent="0.35">
      <c r="A82" s="1" t="s">
        <v>37</v>
      </c>
      <c r="B82" s="1" t="s">
        <v>28</v>
      </c>
      <c r="C82" s="1">
        <v>2023</v>
      </c>
      <c r="D82" s="14">
        <f>SUMIFS(Usage_Base!$C:$C,Usage_Base!$A:$A,A82,Usage_Base!$B:$B,C82)</f>
        <v>4530</v>
      </c>
      <c r="E82" s="1" t="str">
        <f>IF(COUNTIF(Assumptions!$A$18:$A$22,A82)&gt;0,A82,"BASELINE")</f>
        <v>EMERALD</v>
      </c>
      <c r="F82" s="11">
        <f>INDEX(Assumptions!$B$17:$E$22,MATCH(E82,Assumptions!$A$17:$A$22,0),MATCH(B82,Assumptions!$B$16:$E$16,0))</f>
        <v>0.08</v>
      </c>
      <c r="G82" s="14">
        <f t="shared" si="6"/>
        <v>362</v>
      </c>
      <c r="H82" s="14">
        <f t="shared" si="7"/>
        <v>362</v>
      </c>
      <c r="I82" s="19">
        <v>362</v>
      </c>
      <c r="J82" s="1" t="b">
        <f t="shared" si="8"/>
        <v>1</v>
      </c>
    </row>
    <row r="83" spans="1:10" x14ac:dyDescent="0.35">
      <c r="A83" s="1" t="s">
        <v>37</v>
      </c>
      <c r="B83" s="1" t="s">
        <v>29</v>
      </c>
      <c r="C83" s="1">
        <v>2023</v>
      </c>
      <c r="D83" s="14">
        <f>SUMIFS(Usage_Base!$C:$C,Usage_Base!$A:$A,A83,Usage_Base!$B:$B,C83)</f>
        <v>4530</v>
      </c>
      <c r="E83" s="1" t="str">
        <f>IF(COUNTIF(Assumptions!$A$18:$A$22,A83)&gt;0,A83,"BASELINE")</f>
        <v>EMERALD</v>
      </c>
      <c r="F83" s="11">
        <f>INDEX(Assumptions!$B$17:$E$22,MATCH(E83,Assumptions!$A$17:$A$22,0),MATCH(B83,Assumptions!$B$16:$E$16,0))</f>
        <v>0.16</v>
      </c>
      <c r="G83" s="14">
        <f t="shared" si="6"/>
        <v>725</v>
      </c>
      <c r="H83" s="14">
        <f t="shared" si="7"/>
        <v>726</v>
      </c>
      <c r="I83" s="19">
        <v>726</v>
      </c>
      <c r="J83" s="1" t="b">
        <f t="shared" si="8"/>
        <v>1</v>
      </c>
    </row>
    <row r="84" spans="1:10" x14ac:dyDescent="0.35">
      <c r="A84" s="1" t="s">
        <v>37</v>
      </c>
      <c r="B84" s="1" t="s">
        <v>26</v>
      </c>
      <c r="C84" s="1">
        <v>2024</v>
      </c>
      <c r="D84" s="14">
        <f>SUMIFS(Usage_Base!$C:$C,Usage_Base!$A:$A,A84,Usage_Base!$B:$B,C84)</f>
        <v>4650</v>
      </c>
      <c r="E84" s="1" t="str">
        <f>IF(COUNTIF(Assumptions!$A$18:$A$22,A84)&gt;0,A84,"BASELINE")</f>
        <v>EMERALD</v>
      </c>
      <c r="F84" s="11">
        <f>INDEX(Assumptions!$B$17:$E$22,MATCH(E84,Assumptions!$A$17:$A$22,0),MATCH(B84,Assumptions!$B$16:$E$16,0))</f>
        <v>0.08</v>
      </c>
      <c r="G84" s="14">
        <f t="shared" si="6"/>
        <v>372</v>
      </c>
      <c r="H84" s="14">
        <f t="shared" si="7"/>
        <v>372</v>
      </c>
      <c r="I84" s="19">
        <v>372</v>
      </c>
      <c r="J84" s="1" t="b">
        <f t="shared" si="8"/>
        <v>1</v>
      </c>
    </row>
    <row r="85" spans="1:10" x14ac:dyDescent="0.35">
      <c r="A85" s="1" t="s">
        <v>37</v>
      </c>
      <c r="B85" s="1" t="s">
        <v>27</v>
      </c>
      <c r="C85" s="1">
        <v>2024</v>
      </c>
      <c r="D85" s="14">
        <f>SUMIFS(Usage_Base!$C:$C,Usage_Base!$A:$A,A85,Usage_Base!$B:$B,C85)</f>
        <v>4650</v>
      </c>
      <c r="E85" s="1" t="str">
        <f>IF(COUNTIF(Assumptions!$A$18:$A$22,A85)&gt;0,A85,"BASELINE")</f>
        <v>EMERALD</v>
      </c>
      <c r="F85" s="11">
        <f>INDEX(Assumptions!$B$17:$E$22,MATCH(E85,Assumptions!$A$17:$A$22,0),MATCH(B85,Assumptions!$B$16:$E$16,0))</f>
        <v>0.68</v>
      </c>
      <c r="G85" s="14">
        <f t="shared" si="6"/>
        <v>3162</v>
      </c>
      <c r="H85" s="14">
        <f t="shared" si="7"/>
        <v>3162</v>
      </c>
      <c r="I85" s="19">
        <v>3162</v>
      </c>
      <c r="J85" s="1" t="b">
        <f t="shared" si="8"/>
        <v>1</v>
      </c>
    </row>
    <row r="86" spans="1:10" x14ac:dyDescent="0.35">
      <c r="A86" s="1" t="s">
        <v>37</v>
      </c>
      <c r="B86" s="1" t="s">
        <v>28</v>
      </c>
      <c r="C86" s="1">
        <v>2024</v>
      </c>
      <c r="D86" s="14">
        <f>SUMIFS(Usage_Base!$C:$C,Usage_Base!$A:$A,A86,Usage_Base!$B:$B,C86)</f>
        <v>4650</v>
      </c>
      <c r="E86" s="1" t="str">
        <f>IF(COUNTIF(Assumptions!$A$18:$A$22,A86)&gt;0,A86,"BASELINE")</f>
        <v>EMERALD</v>
      </c>
      <c r="F86" s="11">
        <f>INDEX(Assumptions!$B$17:$E$22,MATCH(E86,Assumptions!$A$17:$A$22,0),MATCH(B86,Assumptions!$B$16:$E$16,0))</f>
        <v>0.08</v>
      </c>
      <c r="G86" s="14">
        <f t="shared" si="6"/>
        <v>372</v>
      </c>
      <c r="H86" s="14">
        <f t="shared" si="7"/>
        <v>372</v>
      </c>
      <c r="I86" s="19">
        <v>372</v>
      </c>
      <c r="J86" s="1" t="b">
        <f t="shared" si="8"/>
        <v>1</v>
      </c>
    </row>
    <row r="87" spans="1:10" x14ac:dyDescent="0.35">
      <c r="A87" s="1" t="s">
        <v>37</v>
      </c>
      <c r="B87" s="1" t="s">
        <v>29</v>
      </c>
      <c r="C87" s="1">
        <v>2024</v>
      </c>
      <c r="D87" s="14">
        <f>SUMIFS(Usage_Base!$C:$C,Usage_Base!$A:$A,A87,Usage_Base!$B:$B,C87)</f>
        <v>4650</v>
      </c>
      <c r="E87" s="1" t="str">
        <f>IF(COUNTIF(Assumptions!$A$18:$A$22,A87)&gt;0,A87,"BASELINE")</f>
        <v>EMERALD</v>
      </c>
      <c r="F87" s="11">
        <f>INDEX(Assumptions!$B$17:$E$22,MATCH(E87,Assumptions!$A$17:$A$22,0),MATCH(B87,Assumptions!$B$16:$E$16,0))</f>
        <v>0.16</v>
      </c>
      <c r="G87" s="14">
        <f t="shared" si="6"/>
        <v>744</v>
      </c>
      <c r="H87" s="14">
        <f t="shared" si="7"/>
        <v>744</v>
      </c>
      <c r="I87" s="19">
        <v>744</v>
      </c>
      <c r="J87" s="1" t="b">
        <f t="shared" si="8"/>
        <v>1</v>
      </c>
    </row>
    <row r="88" spans="1:10" x14ac:dyDescent="0.35">
      <c r="A88" s="1" t="s">
        <v>39</v>
      </c>
      <c r="B88" s="1" t="s">
        <v>26</v>
      </c>
      <c r="C88" s="1">
        <v>2022</v>
      </c>
      <c r="D88" s="14">
        <f>SUMIFS(Usage_Base!$C:$C,Usage_Base!$A:$A,A88,Usage_Base!$B:$B,C88)</f>
        <v>1580</v>
      </c>
      <c r="E88" s="1" t="str">
        <f>IF(COUNTIF(Assumptions!$A$18:$A$22,A88)&gt;0,A88,"BASELINE")</f>
        <v>COCHRANE</v>
      </c>
      <c r="F88" s="11">
        <f>INDEX(Assumptions!$B$17:$E$22,MATCH(E88,Assumptions!$A$17:$A$22,0),MATCH(B88,Assumptions!$B$16:$E$16,0))</f>
        <v>0.15</v>
      </c>
      <c r="G88" s="14">
        <f t="shared" si="6"/>
        <v>237</v>
      </c>
      <c r="H88" s="14">
        <f t="shared" si="7"/>
        <v>237</v>
      </c>
      <c r="I88" s="19">
        <v>237</v>
      </c>
      <c r="J88" s="1" t="b">
        <f t="shared" si="8"/>
        <v>1</v>
      </c>
    </row>
    <row r="89" spans="1:10" x14ac:dyDescent="0.35">
      <c r="A89" s="1" t="s">
        <v>39</v>
      </c>
      <c r="B89" s="1" t="s">
        <v>27</v>
      </c>
      <c r="C89" s="1">
        <v>2022</v>
      </c>
      <c r="D89" s="14">
        <f>SUMIFS(Usage_Base!$C:$C,Usage_Base!$A:$A,A89,Usage_Base!$B:$B,C89)</f>
        <v>1580</v>
      </c>
      <c r="E89" s="1" t="str">
        <f>IF(COUNTIF(Assumptions!$A$18:$A$22,A89)&gt;0,A89,"BASELINE")</f>
        <v>COCHRANE</v>
      </c>
      <c r="F89" s="11">
        <f>INDEX(Assumptions!$B$17:$E$22,MATCH(E89,Assumptions!$A$17:$A$22,0),MATCH(B89,Assumptions!$B$16:$E$16,0))</f>
        <v>0.05</v>
      </c>
      <c r="G89" s="14">
        <f t="shared" si="6"/>
        <v>79</v>
      </c>
      <c r="H89" s="14">
        <f t="shared" si="7"/>
        <v>79</v>
      </c>
      <c r="I89" s="19">
        <v>79</v>
      </c>
      <c r="J89" s="1" t="b">
        <f t="shared" si="8"/>
        <v>1</v>
      </c>
    </row>
    <row r="90" spans="1:10" x14ac:dyDescent="0.35">
      <c r="A90" s="1" t="s">
        <v>39</v>
      </c>
      <c r="B90" s="1" t="s">
        <v>28</v>
      </c>
      <c r="C90" s="1">
        <v>2022</v>
      </c>
      <c r="D90" s="14">
        <f>SUMIFS(Usage_Base!$C:$C,Usage_Base!$A:$A,A90,Usage_Base!$B:$B,C90)</f>
        <v>1580</v>
      </c>
      <c r="E90" s="1" t="str">
        <f>IF(COUNTIF(Assumptions!$A$18:$A$22,A90)&gt;0,A90,"BASELINE")</f>
        <v>COCHRANE</v>
      </c>
      <c r="F90" s="11">
        <f>INDEX(Assumptions!$B$17:$E$22,MATCH(E90,Assumptions!$A$17:$A$22,0),MATCH(B90,Assumptions!$B$16:$E$16,0))</f>
        <v>0.75</v>
      </c>
      <c r="G90" s="14">
        <f t="shared" si="6"/>
        <v>1185</v>
      </c>
      <c r="H90" s="14">
        <f t="shared" si="7"/>
        <v>1185</v>
      </c>
      <c r="I90" s="19">
        <v>1185</v>
      </c>
      <c r="J90" s="1" t="b">
        <f t="shared" si="8"/>
        <v>1</v>
      </c>
    </row>
    <row r="91" spans="1:10" x14ac:dyDescent="0.35">
      <c r="A91" s="1" t="s">
        <v>39</v>
      </c>
      <c r="B91" s="1" t="s">
        <v>29</v>
      </c>
      <c r="C91" s="1">
        <v>2022</v>
      </c>
      <c r="D91" s="14">
        <f>SUMIFS(Usage_Base!$C:$C,Usage_Base!$A:$A,A91,Usage_Base!$B:$B,C91)</f>
        <v>1580</v>
      </c>
      <c r="E91" s="1" t="str">
        <f>IF(COUNTIF(Assumptions!$A$18:$A$22,A91)&gt;0,A91,"BASELINE")</f>
        <v>COCHRANE</v>
      </c>
      <c r="F91" s="11">
        <f>INDEX(Assumptions!$B$17:$E$22,MATCH(E91,Assumptions!$A$17:$A$22,0),MATCH(B91,Assumptions!$B$16:$E$16,0))</f>
        <v>0.05</v>
      </c>
      <c r="G91" s="14">
        <f t="shared" si="6"/>
        <v>79</v>
      </c>
      <c r="H91" s="14">
        <f t="shared" si="7"/>
        <v>79</v>
      </c>
      <c r="I91" s="19">
        <v>79</v>
      </c>
      <c r="J91" s="1" t="b">
        <f t="shared" si="8"/>
        <v>1</v>
      </c>
    </row>
    <row r="92" spans="1:10" x14ac:dyDescent="0.35">
      <c r="A92" s="1" t="s">
        <v>39</v>
      </c>
      <c r="B92" s="1" t="s">
        <v>26</v>
      </c>
      <c r="C92" s="1">
        <v>2023</v>
      </c>
      <c r="D92" s="14">
        <f>SUMIFS(Usage_Base!$C:$C,Usage_Base!$A:$A,A92,Usage_Base!$B:$B,C92)</f>
        <v>1650</v>
      </c>
      <c r="E92" s="1" t="str">
        <f>IF(COUNTIF(Assumptions!$A$18:$A$22,A92)&gt;0,A92,"BASELINE")</f>
        <v>COCHRANE</v>
      </c>
      <c r="F92" s="11">
        <f>INDEX(Assumptions!$B$17:$E$22,MATCH(E92,Assumptions!$A$17:$A$22,0),MATCH(B92,Assumptions!$B$16:$E$16,0))</f>
        <v>0.15</v>
      </c>
      <c r="G92" s="14">
        <f t="shared" si="6"/>
        <v>248</v>
      </c>
      <c r="H92" s="14">
        <f t="shared" si="7"/>
        <v>248</v>
      </c>
      <c r="I92" s="19">
        <v>248</v>
      </c>
      <c r="J92" s="1" t="b">
        <f t="shared" si="8"/>
        <v>1</v>
      </c>
    </row>
    <row r="93" spans="1:10" x14ac:dyDescent="0.35">
      <c r="A93" s="1" t="s">
        <v>39</v>
      </c>
      <c r="B93" s="1" t="s">
        <v>27</v>
      </c>
      <c r="C93" s="1">
        <v>2023</v>
      </c>
      <c r="D93" s="14">
        <f>SUMIFS(Usage_Base!$C:$C,Usage_Base!$A:$A,A93,Usage_Base!$B:$B,C93)</f>
        <v>1650</v>
      </c>
      <c r="E93" s="1" t="str">
        <f>IF(COUNTIF(Assumptions!$A$18:$A$22,A93)&gt;0,A93,"BASELINE")</f>
        <v>COCHRANE</v>
      </c>
      <c r="F93" s="11">
        <f>INDEX(Assumptions!$B$17:$E$22,MATCH(E93,Assumptions!$A$17:$A$22,0),MATCH(B93,Assumptions!$B$16:$E$16,0))</f>
        <v>0.05</v>
      </c>
      <c r="G93" s="14">
        <f t="shared" si="6"/>
        <v>82</v>
      </c>
      <c r="H93" s="14">
        <f t="shared" si="7"/>
        <v>82</v>
      </c>
      <c r="I93" s="19">
        <v>82</v>
      </c>
      <c r="J93" s="1" t="b">
        <f t="shared" si="8"/>
        <v>1</v>
      </c>
    </row>
    <row r="94" spans="1:10" x14ac:dyDescent="0.35">
      <c r="A94" s="1" t="s">
        <v>39</v>
      </c>
      <c r="B94" s="1" t="s">
        <v>28</v>
      </c>
      <c r="C94" s="1">
        <v>2023</v>
      </c>
      <c r="D94" s="14">
        <f>SUMIFS(Usage_Base!$C:$C,Usage_Base!$A:$A,A94,Usage_Base!$B:$B,C94)</f>
        <v>1650</v>
      </c>
      <c r="E94" s="1" t="str">
        <f>IF(COUNTIF(Assumptions!$A$18:$A$22,A94)&gt;0,A94,"BASELINE")</f>
        <v>COCHRANE</v>
      </c>
      <c r="F94" s="11">
        <f>INDEX(Assumptions!$B$17:$E$22,MATCH(E94,Assumptions!$A$17:$A$22,0),MATCH(B94,Assumptions!$B$16:$E$16,0))</f>
        <v>0.75</v>
      </c>
      <c r="G94" s="14">
        <f t="shared" si="6"/>
        <v>1238</v>
      </c>
      <c r="H94" s="14">
        <f t="shared" si="7"/>
        <v>1238</v>
      </c>
      <c r="I94" s="19">
        <v>1238</v>
      </c>
      <c r="J94" s="1" t="b">
        <f t="shared" si="8"/>
        <v>1</v>
      </c>
    </row>
    <row r="95" spans="1:10" x14ac:dyDescent="0.35">
      <c r="A95" s="1" t="s">
        <v>39</v>
      </c>
      <c r="B95" s="1" t="s">
        <v>29</v>
      </c>
      <c r="C95" s="1">
        <v>2023</v>
      </c>
      <c r="D95" s="14">
        <f>SUMIFS(Usage_Base!$C:$C,Usage_Base!$A:$A,A95,Usage_Base!$B:$B,C95)</f>
        <v>1650</v>
      </c>
      <c r="E95" s="1" t="str">
        <f>IF(COUNTIF(Assumptions!$A$18:$A$22,A95)&gt;0,A95,"BASELINE")</f>
        <v>COCHRANE</v>
      </c>
      <c r="F95" s="11">
        <f>INDEX(Assumptions!$B$17:$E$22,MATCH(E95,Assumptions!$A$17:$A$22,0),MATCH(B95,Assumptions!$B$16:$E$16,0))</f>
        <v>0.05</v>
      </c>
      <c r="G95" s="14">
        <f t="shared" si="6"/>
        <v>82</v>
      </c>
      <c r="H95" s="14">
        <f t="shared" si="7"/>
        <v>82</v>
      </c>
      <c r="I95" s="19">
        <v>82</v>
      </c>
      <c r="J95" s="1" t="b">
        <f t="shared" si="8"/>
        <v>1</v>
      </c>
    </row>
    <row r="96" spans="1:10" x14ac:dyDescent="0.35">
      <c r="A96" s="1" t="s">
        <v>39</v>
      </c>
      <c r="B96" s="1" t="s">
        <v>26</v>
      </c>
      <c r="C96" s="1">
        <v>2024</v>
      </c>
      <c r="D96" s="14">
        <f>SUMIFS(Usage_Base!$C:$C,Usage_Base!$A:$A,A96,Usage_Base!$B:$B,C96)</f>
        <v>1700</v>
      </c>
      <c r="E96" s="1" t="str">
        <f>IF(COUNTIF(Assumptions!$A$18:$A$22,A96)&gt;0,A96,"BASELINE")</f>
        <v>COCHRANE</v>
      </c>
      <c r="F96" s="11">
        <f>INDEX(Assumptions!$B$17:$E$22,MATCH(E96,Assumptions!$A$17:$A$22,0),MATCH(B96,Assumptions!$B$16:$E$16,0))</f>
        <v>0.15</v>
      </c>
      <c r="G96" s="14">
        <f t="shared" si="6"/>
        <v>255</v>
      </c>
      <c r="H96" s="14">
        <f t="shared" si="7"/>
        <v>255</v>
      </c>
      <c r="I96" s="19">
        <v>255</v>
      </c>
      <c r="J96" s="1" t="b">
        <f t="shared" si="8"/>
        <v>1</v>
      </c>
    </row>
    <row r="97" spans="1:10" x14ac:dyDescent="0.35">
      <c r="A97" s="1" t="s">
        <v>39</v>
      </c>
      <c r="B97" s="1" t="s">
        <v>27</v>
      </c>
      <c r="C97" s="1">
        <v>2024</v>
      </c>
      <c r="D97" s="14">
        <f>SUMIFS(Usage_Base!$C:$C,Usage_Base!$A:$A,A97,Usage_Base!$B:$B,C97)</f>
        <v>1700</v>
      </c>
      <c r="E97" s="1" t="str">
        <f>IF(COUNTIF(Assumptions!$A$18:$A$22,A97)&gt;0,A97,"BASELINE")</f>
        <v>COCHRANE</v>
      </c>
      <c r="F97" s="11">
        <f>INDEX(Assumptions!$B$17:$E$22,MATCH(E97,Assumptions!$A$17:$A$22,0),MATCH(B97,Assumptions!$B$16:$E$16,0))</f>
        <v>0.05</v>
      </c>
      <c r="G97" s="14">
        <f t="shared" si="6"/>
        <v>85</v>
      </c>
      <c r="H97" s="14">
        <f t="shared" si="7"/>
        <v>85</v>
      </c>
      <c r="I97" s="19">
        <v>85</v>
      </c>
      <c r="J97" s="1" t="b">
        <f t="shared" si="8"/>
        <v>1</v>
      </c>
    </row>
    <row r="98" spans="1:10" x14ac:dyDescent="0.35">
      <c r="A98" s="1" t="s">
        <v>39</v>
      </c>
      <c r="B98" s="1" t="s">
        <v>28</v>
      </c>
      <c r="C98" s="1">
        <v>2024</v>
      </c>
      <c r="D98" s="14">
        <f>SUMIFS(Usage_Base!$C:$C,Usage_Base!$A:$A,A98,Usage_Base!$B:$B,C98)</f>
        <v>1700</v>
      </c>
      <c r="E98" s="1" t="str">
        <f>IF(COUNTIF(Assumptions!$A$18:$A$22,A98)&gt;0,A98,"BASELINE")</f>
        <v>COCHRANE</v>
      </c>
      <c r="F98" s="11">
        <f>INDEX(Assumptions!$B$17:$E$22,MATCH(E98,Assumptions!$A$17:$A$22,0),MATCH(B98,Assumptions!$B$16:$E$16,0))</f>
        <v>0.75</v>
      </c>
      <c r="G98" s="14">
        <f t="shared" si="6"/>
        <v>1275</v>
      </c>
      <c r="H98" s="14">
        <f t="shared" si="7"/>
        <v>1275</v>
      </c>
      <c r="I98" s="19">
        <v>1275</v>
      </c>
      <c r="J98" s="1" t="b">
        <f t="shared" si="8"/>
        <v>1</v>
      </c>
    </row>
    <row r="99" spans="1:10" x14ac:dyDescent="0.35">
      <c r="A99" s="1" t="s">
        <v>39</v>
      </c>
      <c r="B99" s="1" t="s">
        <v>29</v>
      </c>
      <c r="C99" s="1">
        <v>2024</v>
      </c>
      <c r="D99" s="14">
        <f>SUMIFS(Usage_Base!$C:$C,Usage_Base!$A:$A,A99,Usage_Base!$B:$B,C99)</f>
        <v>1700</v>
      </c>
      <c r="E99" s="1" t="str">
        <f>IF(COUNTIF(Assumptions!$A$18:$A$22,A99)&gt;0,A99,"BASELINE")</f>
        <v>COCHRANE</v>
      </c>
      <c r="F99" s="11">
        <f>INDEX(Assumptions!$B$17:$E$22,MATCH(E99,Assumptions!$A$17:$A$22,0),MATCH(B99,Assumptions!$B$16:$E$16,0))</f>
        <v>0.05</v>
      </c>
      <c r="G99" s="14">
        <f t="shared" si="6"/>
        <v>85</v>
      </c>
      <c r="H99" s="14">
        <f t="shared" si="7"/>
        <v>85</v>
      </c>
      <c r="I99" s="19">
        <v>85</v>
      </c>
      <c r="J99" s="1" t="b">
        <f t="shared" si="8"/>
        <v>1</v>
      </c>
    </row>
    <row r="100" spans="1:10" x14ac:dyDescent="0.35">
      <c r="A100" s="1" t="s">
        <v>80</v>
      </c>
      <c r="B100" s="1" t="s">
        <v>26</v>
      </c>
      <c r="C100" s="1">
        <v>2022</v>
      </c>
      <c r="D100" s="14">
        <f>SUMIFS(Usage_Base!$C:$C,Usage_Base!$A:$A,A100,Usage_Base!$B:$B,C100)</f>
        <v>540</v>
      </c>
      <c r="E100" s="1" t="str">
        <f>IF(COUNTIF(Assumptions!$A$18:$A$22,A100)&gt;0,A100,"BASELINE")</f>
        <v>BASELINE</v>
      </c>
      <c r="F100" s="11">
        <f>INDEX(Assumptions!$B$17:$E$22,MATCH(E100,Assumptions!$A$17:$A$22,0),MATCH(B100,Assumptions!$B$16:$E$16,0))</f>
        <v>0.3</v>
      </c>
      <c r="G100" s="14">
        <f t="shared" ref="G100:G131" si="9">IF(ROUND(MOD(D100*F100,1),9)=0.5,2*ROUND((D100*F100)/2,0),ROUND(D100*F100,0))</f>
        <v>162</v>
      </c>
      <c r="H100" s="14">
        <f t="shared" ref="H100:H131" si="10">IF(B100="AHSS",D100-SUMIFS($G:$G,$A:$A,A100,$C:$C,C100,$B:$B,"&lt;&gt;AHSS"),G100)</f>
        <v>162</v>
      </c>
      <c r="I100" s="19">
        <v>162</v>
      </c>
      <c r="J100" s="1" t="b">
        <f t="shared" ref="J100:J131" si="11">H100=I100</f>
        <v>1</v>
      </c>
    </row>
    <row r="101" spans="1:10" x14ac:dyDescent="0.35">
      <c r="A101" s="1" t="s">
        <v>80</v>
      </c>
      <c r="B101" s="1" t="s">
        <v>27</v>
      </c>
      <c r="C101" s="1">
        <v>2022</v>
      </c>
      <c r="D101" s="14">
        <f>SUMIFS(Usage_Base!$C:$C,Usage_Base!$A:$A,A101,Usage_Base!$B:$B,C101)</f>
        <v>540</v>
      </c>
      <c r="E101" s="1" t="str">
        <f>IF(COUNTIF(Assumptions!$A$18:$A$22,A101)&gt;0,A101,"BASELINE")</f>
        <v>BASELINE</v>
      </c>
      <c r="F101" s="11">
        <f>INDEX(Assumptions!$B$17:$E$22,MATCH(E101,Assumptions!$A$17:$A$22,0),MATCH(B101,Assumptions!$B$16:$E$16,0))</f>
        <v>0.25</v>
      </c>
      <c r="G101" s="14">
        <f t="shared" si="9"/>
        <v>135</v>
      </c>
      <c r="H101" s="14">
        <f t="shared" si="10"/>
        <v>135</v>
      </c>
      <c r="I101" s="19">
        <v>135</v>
      </c>
      <c r="J101" s="1" t="b">
        <f t="shared" si="11"/>
        <v>1</v>
      </c>
    </row>
    <row r="102" spans="1:10" x14ac:dyDescent="0.35">
      <c r="A102" s="1" t="s">
        <v>80</v>
      </c>
      <c r="B102" s="1" t="s">
        <v>28</v>
      </c>
      <c r="C102" s="1">
        <v>2022</v>
      </c>
      <c r="D102" s="14">
        <f>SUMIFS(Usage_Base!$C:$C,Usage_Base!$A:$A,A102,Usage_Base!$B:$B,C102)</f>
        <v>540</v>
      </c>
      <c r="E102" s="1" t="str">
        <f>IF(COUNTIF(Assumptions!$A$18:$A$22,A102)&gt;0,A102,"BASELINE")</f>
        <v>BASELINE</v>
      </c>
      <c r="F102" s="11">
        <f>INDEX(Assumptions!$B$17:$E$22,MATCH(E102,Assumptions!$A$17:$A$22,0),MATCH(B102,Assumptions!$B$16:$E$16,0))</f>
        <v>0.2</v>
      </c>
      <c r="G102" s="14">
        <f t="shared" si="9"/>
        <v>108</v>
      </c>
      <c r="H102" s="14">
        <f t="shared" si="10"/>
        <v>108</v>
      </c>
      <c r="I102" s="19">
        <v>108</v>
      </c>
      <c r="J102" s="1" t="b">
        <f t="shared" si="11"/>
        <v>1</v>
      </c>
    </row>
    <row r="103" spans="1:10" x14ac:dyDescent="0.35">
      <c r="A103" s="1" t="s">
        <v>80</v>
      </c>
      <c r="B103" s="1" t="s">
        <v>29</v>
      </c>
      <c r="C103" s="1">
        <v>2022</v>
      </c>
      <c r="D103" s="14">
        <f>SUMIFS(Usage_Base!$C:$C,Usage_Base!$A:$A,A103,Usage_Base!$B:$B,C103)</f>
        <v>540</v>
      </c>
      <c r="E103" s="1" t="str">
        <f>IF(COUNTIF(Assumptions!$A$18:$A$22,A103)&gt;0,A103,"BASELINE")</f>
        <v>BASELINE</v>
      </c>
      <c r="F103" s="11">
        <f>INDEX(Assumptions!$B$17:$E$22,MATCH(E103,Assumptions!$A$17:$A$22,0),MATCH(B103,Assumptions!$B$16:$E$16,0))</f>
        <v>0.25</v>
      </c>
      <c r="G103" s="14">
        <f t="shared" si="9"/>
        <v>135</v>
      </c>
      <c r="H103" s="14">
        <f t="shared" si="10"/>
        <v>135</v>
      </c>
      <c r="I103" s="19">
        <v>135</v>
      </c>
      <c r="J103" s="1" t="b">
        <f t="shared" si="11"/>
        <v>1</v>
      </c>
    </row>
    <row r="104" spans="1:10" x14ac:dyDescent="0.35">
      <c r="A104" s="1" t="s">
        <v>80</v>
      </c>
      <c r="B104" s="1" t="s">
        <v>26</v>
      </c>
      <c r="C104" s="1">
        <v>2023</v>
      </c>
      <c r="D104" s="14">
        <f>SUMIFS(Usage_Base!$C:$C,Usage_Base!$A:$A,A104,Usage_Base!$B:$B,C104)</f>
        <v>570</v>
      </c>
      <c r="E104" s="1" t="str">
        <f>IF(COUNTIF(Assumptions!$A$18:$A$22,A104)&gt;0,A104,"BASELINE")</f>
        <v>BASELINE</v>
      </c>
      <c r="F104" s="11">
        <f>INDEX(Assumptions!$B$17:$E$22,MATCH(E104,Assumptions!$A$17:$A$22,0),MATCH(B104,Assumptions!$B$16:$E$16,0))</f>
        <v>0.3</v>
      </c>
      <c r="G104" s="14">
        <f t="shared" si="9"/>
        <v>171</v>
      </c>
      <c r="H104" s="14">
        <f t="shared" si="10"/>
        <v>171</v>
      </c>
      <c r="I104" s="19">
        <v>171</v>
      </c>
      <c r="J104" s="1" t="b">
        <f t="shared" si="11"/>
        <v>1</v>
      </c>
    </row>
    <row r="105" spans="1:10" x14ac:dyDescent="0.35">
      <c r="A105" s="1" t="s">
        <v>80</v>
      </c>
      <c r="B105" s="1" t="s">
        <v>27</v>
      </c>
      <c r="C105" s="1">
        <v>2023</v>
      </c>
      <c r="D105" s="14">
        <f>SUMIFS(Usage_Base!$C:$C,Usage_Base!$A:$A,A105,Usage_Base!$B:$B,C105)</f>
        <v>570</v>
      </c>
      <c r="E105" s="1" t="str">
        <f>IF(COUNTIF(Assumptions!$A$18:$A$22,A105)&gt;0,A105,"BASELINE")</f>
        <v>BASELINE</v>
      </c>
      <c r="F105" s="11">
        <f>INDEX(Assumptions!$B$17:$E$22,MATCH(E105,Assumptions!$A$17:$A$22,0),MATCH(B105,Assumptions!$B$16:$E$16,0))</f>
        <v>0.25</v>
      </c>
      <c r="G105" s="14">
        <f t="shared" si="9"/>
        <v>142</v>
      </c>
      <c r="H105" s="14">
        <f t="shared" si="10"/>
        <v>142</v>
      </c>
      <c r="I105" s="19">
        <v>142</v>
      </c>
      <c r="J105" s="1" t="b">
        <f t="shared" si="11"/>
        <v>1</v>
      </c>
    </row>
    <row r="106" spans="1:10" x14ac:dyDescent="0.35">
      <c r="A106" s="1" t="s">
        <v>80</v>
      </c>
      <c r="B106" s="1" t="s">
        <v>28</v>
      </c>
      <c r="C106" s="1">
        <v>2023</v>
      </c>
      <c r="D106" s="14">
        <f>SUMIFS(Usage_Base!$C:$C,Usage_Base!$A:$A,A106,Usage_Base!$B:$B,C106)</f>
        <v>570</v>
      </c>
      <c r="E106" s="1" t="str">
        <f>IF(COUNTIF(Assumptions!$A$18:$A$22,A106)&gt;0,A106,"BASELINE")</f>
        <v>BASELINE</v>
      </c>
      <c r="F106" s="11">
        <f>INDEX(Assumptions!$B$17:$E$22,MATCH(E106,Assumptions!$A$17:$A$22,0),MATCH(B106,Assumptions!$B$16:$E$16,0))</f>
        <v>0.2</v>
      </c>
      <c r="G106" s="14">
        <f t="shared" si="9"/>
        <v>114</v>
      </c>
      <c r="H106" s="14">
        <f t="shared" si="10"/>
        <v>114</v>
      </c>
      <c r="I106" s="19">
        <v>114</v>
      </c>
      <c r="J106" s="1" t="b">
        <f t="shared" si="11"/>
        <v>1</v>
      </c>
    </row>
    <row r="107" spans="1:10" x14ac:dyDescent="0.35">
      <c r="A107" s="1" t="s">
        <v>80</v>
      </c>
      <c r="B107" s="1" t="s">
        <v>29</v>
      </c>
      <c r="C107" s="1">
        <v>2023</v>
      </c>
      <c r="D107" s="14">
        <f>SUMIFS(Usage_Base!$C:$C,Usage_Base!$A:$A,A107,Usage_Base!$B:$B,C107)</f>
        <v>570</v>
      </c>
      <c r="E107" s="1" t="str">
        <f>IF(COUNTIF(Assumptions!$A$18:$A$22,A107)&gt;0,A107,"BASELINE")</f>
        <v>BASELINE</v>
      </c>
      <c r="F107" s="11">
        <f>INDEX(Assumptions!$B$17:$E$22,MATCH(E107,Assumptions!$A$17:$A$22,0),MATCH(B107,Assumptions!$B$16:$E$16,0))</f>
        <v>0.25</v>
      </c>
      <c r="G107" s="14">
        <f t="shared" si="9"/>
        <v>142</v>
      </c>
      <c r="H107" s="14">
        <f t="shared" si="10"/>
        <v>143</v>
      </c>
      <c r="I107" s="19">
        <v>143</v>
      </c>
      <c r="J107" s="1" t="b">
        <f t="shared" si="11"/>
        <v>1</v>
      </c>
    </row>
    <row r="108" spans="1:10" x14ac:dyDescent="0.35">
      <c r="A108" s="1" t="s">
        <v>80</v>
      </c>
      <c r="B108" s="1" t="s">
        <v>26</v>
      </c>
      <c r="C108" s="1">
        <v>2024</v>
      </c>
      <c r="D108" s="14">
        <f>SUMIFS(Usage_Base!$C:$C,Usage_Base!$A:$A,A108,Usage_Base!$B:$B,C108)</f>
        <v>590</v>
      </c>
      <c r="E108" s="1" t="str">
        <f>IF(COUNTIF(Assumptions!$A$18:$A$22,A108)&gt;0,A108,"BASELINE")</f>
        <v>BASELINE</v>
      </c>
      <c r="F108" s="11">
        <f>INDEX(Assumptions!$B$17:$E$22,MATCH(E108,Assumptions!$A$17:$A$22,0),MATCH(B108,Assumptions!$B$16:$E$16,0))</f>
        <v>0.3</v>
      </c>
      <c r="G108" s="14">
        <f t="shared" si="9"/>
        <v>177</v>
      </c>
      <c r="H108" s="14">
        <f t="shared" si="10"/>
        <v>177</v>
      </c>
      <c r="I108" s="19">
        <v>177</v>
      </c>
      <c r="J108" s="1" t="b">
        <f t="shared" si="11"/>
        <v>1</v>
      </c>
    </row>
    <row r="109" spans="1:10" x14ac:dyDescent="0.35">
      <c r="A109" s="1" t="s">
        <v>80</v>
      </c>
      <c r="B109" s="1" t="s">
        <v>27</v>
      </c>
      <c r="C109" s="1">
        <v>2024</v>
      </c>
      <c r="D109" s="14">
        <f>SUMIFS(Usage_Base!$C:$C,Usage_Base!$A:$A,A109,Usage_Base!$B:$B,C109)</f>
        <v>590</v>
      </c>
      <c r="E109" s="1" t="str">
        <f>IF(COUNTIF(Assumptions!$A$18:$A$22,A109)&gt;0,A109,"BASELINE")</f>
        <v>BASELINE</v>
      </c>
      <c r="F109" s="11">
        <f>INDEX(Assumptions!$B$17:$E$22,MATCH(E109,Assumptions!$A$17:$A$22,0),MATCH(B109,Assumptions!$B$16:$E$16,0))</f>
        <v>0.25</v>
      </c>
      <c r="G109" s="14">
        <f t="shared" si="9"/>
        <v>148</v>
      </c>
      <c r="H109" s="14">
        <f t="shared" si="10"/>
        <v>148</v>
      </c>
      <c r="I109" s="19">
        <v>148</v>
      </c>
      <c r="J109" s="1" t="b">
        <f t="shared" si="11"/>
        <v>1</v>
      </c>
    </row>
    <row r="110" spans="1:10" x14ac:dyDescent="0.35">
      <c r="A110" s="1" t="s">
        <v>80</v>
      </c>
      <c r="B110" s="1" t="s">
        <v>28</v>
      </c>
      <c r="C110" s="1">
        <v>2024</v>
      </c>
      <c r="D110" s="14">
        <f>SUMIFS(Usage_Base!$C:$C,Usage_Base!$A:$A,A110,Usage_Base!$B:$B,C110)</f>
        <v>590</v>
      </c>
      <c r="E110" s="1" t="str">
        <f>IF(COUNTIF(Assumptions!$A$18:$A$22,A110)&gt;0,A110,"BASELINE")</f>
        <v>BASELINE</v>
      </c>
      <c r="F110" s="11">
        <f>INDEX(Assumptions!$B$17:$E$22,MATCH(E110,Assumptions!$A$17:$A$22,0),MATCH(B110,Assumptions!$B$16:$E$16,0))</f>
        <v>0.2</v>
      </c>
      <c r="G110" s="14">
        <f t="shared" si="9"/>
        <v>118</v>
      </c>
      <c r="H110" s="14">
        <f t="shared" si="10"/>
        <v>118</v>
      </c>
      <c r="I110" s="19">
        <v>118</v>
      </c>
      <c r="J110" s="1" t="b">
        <f t="shared" si="11"/>
        <v>1</v>
      </c>
    </row>
    <row r="111" spans="1:10" x14ac:dyDescent="0.35">
      <c r="A111" s="1" t="s">
        <v>80</v>
      </c>
      <c r="B111" s="1" t="s">
        <v>29</v>
      </c>
      <c r="C111" s="1">
        <v>2024</v>
      </c>
      <c r="D111" s="14">
        <f>SUMIFS(Usage_Base!$C:$C,Usage_Base!$A:$A,A111,Usage_Base!$B:$B,C111)</f>
        <v>590</v>
      </c>
      <c r="E111" s="1" t="str">
        <f>IF(COUNTIF(Assumptions!$A$18:$A$22,A111)&gt;0,A111,"BASELINE")</f>
        <v>BASELINE</v>
      </c>
      <c r="F111" s="11">
        <f>INDEX(Assumptions!$B$17:$E$22,MATCH(E111,Assumptions!$A$17:$A$22,0),MATCH(B111,Assumptions!$B$16:$E$16,0))</f>
        <v>0.25</v>
      </c>
      <c r="G111" s="14">
        <f t="shared" si="9"/>
        <v>148</v>
      </c>
      <c r="H111" s="14">
        <f t="shared" si="10"/>
        <v>147</v>
      </c>
      <c r="I111" s="19">
        <v>147</v>
      </c>
      <c r="J111" s="1" t="b">
        <f t="shared" si="11"/>
        <v>1</v>
      </c>
    </row>
    <row r="112" spans="1:10" x14ac:dyDescent="0.35">
      <c r="A112" s="1" t="s">
        <v>41</v>
      </c>
      <c r="B112" s="1" t="s">
        <v>26</v>
      </c>
      <c r="C112" s="1">
        <v>2022</v>
      </c>
      <c r="D112" s="14">
        <f>SUMIFS(Usage_Base!$C:$C,Usage_Base!$A:$A,A112,Usage_Base!$B:$B,C112)</f>
        <v>1750</v>
      </c>
      <c r="E112" s="1" t="str">
        <f>IF(COUNTIF(Assumptions!$A$18:$A$22,A112)&gt;0,A112,"BASELINE")</f>
        <v>PROJECT_MUSE</v>
      </c>
      <c r="F112" s="11">
        <f>INDEX(Assumptions!$B$17:$E$22,MATCH(E112,Assumptions!$A$17:$A$22,0),MATCH(B112,Assumptions!$B$16:$E$16,0))</f>
        <v>0.05</v>
      </c>
      <c r="G112" s="14">
        <f t="shared" si="9"/>
        <v>88</v>
      </c>
      <c r="H112" s="14">
        <f t="shared" si="10"/>
        <v>88</v>
      </c>
      <c r="I112" s="19">
        <v>88</v>
      </c>
      <c r="J112" s="1" t="b">
        <f t="shared" si="11"/>
        <v>1</v>
      </c>
    </row>
    <row r="113" spans="1:10" x14ac:dyDescent="0.35">
      <c r="A113" s="1" t="s">
        <v>41</v>
      </c>
      <c r="B113" s="1" t="s">
        <v>27</v>
      </c>
      <c r="C113" s="1">
        <v>2022</v>
      </c>
      <c r="D113" s="14">
        <f>SUMIFS(Usage_Base!$C:$C,Usage_Base!$A:$A,A113,Usage_Base!$B:$B,C113)</f>
        <v>1750</v>
      </c>
      <c r="E113" s="1" t="str">
        <f>IF(COUNTIF(Assumptions!$A$18:$A$22,A113)&gt;0,A113,"BASELINE")</f>
        <v>PROJECT_MUSE</v>
      </c>
      <c r="F113" s="11">
        <f>INDEX(Assumptions!$B$17:$E$22,MATCH(E113,Assumptions!$A$17:$A$22,0),MATCH(B113,Assumptions!$B$16:$E$16,0))</f>
        <v>0.08</v>
      </c>
      <c r="G113" s="14">
        <f t="shared" si="9"/>
        <v>140</v>
      </c>
      <c r="H113" s="14">
        <f t="shared" si="10"/>
        <v>140</v>
      </c>
      <c r="I113" s="19">
        <v>140</v>
      </c>
      <c r="J113" s="1" t="b">
        <f t="shared" si="11"/>
        <v>1</v>
      </c>
    </row>
    <row r="114" spans="1:10" x14ac:dyDescent="0.35">
      <c r="A114" s="1" t="s">
        <v>41</v>
      </c>
      <c r="B114" s="1" t="s">
        <v>28</v>
      </c>
      <c r="C114" s="1">
        <v>2022</v>
      </c>
      <c r="D114" s="14">
        <f>SUMIFS(Usage_Base!$C:$C,Usage_Base!$A:$A,A114,Usage_Base!$B:$B,C114)</f>
        <v>1750</v>
      </c>
      <c r="E114" s="1" t="str">
        <f>IF(COUNTIF(Assumptions!$A$18:$A$22,A114)&gt;0,A114,"BASELINE")</f>
        <v>PROJECT_MUSE</v>
      </c>
      <c r="F114" s="11">
        <f>INDEX(Assumptions!$B$17:$E$22,MATCH(E114,Assumptions!$A$17:$A$22,0),MATCH(B114,Assumptions!$B$16:$E$16,0))</f>
        <v>0.1</v>
      </c>
      <c r="G114" s="14">
        <f t="shared" si="9"/>
        <v>175</v>
      </c>
      <c r="H114" s="14">
        <f t="shared" si="10"/>
        <v>175</v>
      </c>
      <c r="I114" s="19">
        <v>175</v>
      </c>
      <c r="J114" s="1" t="b">
        <f t="shared" si="11"/>
        <v>1</v>
      </c>
    </row>
    <row r="115" spans="1:10" x14ac:dyDescent="0.35">
      <c r="A115" s="1" t="s">
        <v>41</v>
      </c>
      <c r="B115" s="1" t="s">
        <v>29</v>
      </c>
      <c r="C115" s="1">
        <v>2022</v>
      </c>
      <c r="D115" s="14">
        <f>SUMIFS(Usage_Base!$C:$C,Usage_Base!$A:$A,A115,Usage_Base!$B:$B,C115)</f>
        <v>1750</v>
      </c>
      <c r="E115" s="1" t="str">
        <f>IF(COUNTIF(Assumptions!$A$18:$A$22,A115)&gt;0,A115,"BASELINE")</f>
        <v>PROJECT_MUSE</v>
      </c>
      <c r="F115" s="11">
        <f>INDEX(Assumptions!$B$17:$E$22,MATCH(E115,Assumptions!$A$17:$A$22,0),MATCH(B115,Assumptions!$B$16:$E$16,0))</f>
        <v>0.77</v>
      </c>
      <c r="G115" s="14">
        <f t="shared" si="9"/>
        <v>1348</v>
      </c>
      <c r="H115" s="14">
        <f t="shared" si="10"/>
        <v>1347</v>
      </c>
      <c r="I115" s="19">
        <v>1347</v>
      </c>
      <c r="J115" s="1" t="b">
        <f t="shared" si="11"/>
        <v>1</v>
      </c>
    </row>
    <row r="116" spans="1:10" x14ac:dyDescent="0.35">
      <c r="A116" s="1" t="s">
        <v>41</v>
      </c>
      <c r="B116" s="1" t="s">
        <v>26</v>
      </c>
      <c r="C116" s="1">
        <v>2023</v>
      </c>
      <c r="D116" s="14">
        <f>SUMIFS(Usage_Base!$C:$C,Usage_Base!$A:$A,A116,Usage_Base!$B:$B,C116)</f>
        <v>1810</v>
      </c>
      <c r="E116" s="1" t="str">
        <f>IF(COUNTIF(Assumptions!$A$18:$A$22,A116)&gt;0,A116,"BASELINE")</f>
        <v>PROJECT_MUSE</v>
      </c>
      <c r="F116" s="11">
        <f>INDEX(Assumptions!$B$17:$E$22,MATCH(E116,Assumptions!$A$17:$A$22,0),MATCH(B116,Assumptions!$B$16:$E$16,0))</f>
        <v>0.05</v>
      </c>
      <c r="G116" s="14">
        <f t="shared" si="9"/>
        <v>90</v>
      </c>
      <c r="H116" s="14">
        <f t="shared" si="10"/>
        <v>90</v>
      </c>
      <c r="I116" s="19">
        <v>90</v>
      </c>
      <c r="J116" s="1" t="b">
        <f t="shared" si="11"/>
        <v>1</v>
      </c>
    </row>
    <row r="117" spans="1:10" x14ac:dyDescent="0.35">
      <c r="A117" s="1" t="s">
        <v>41</v>
      </c>
      <c r="B117" s="1" t="s">
        <v>27</v>
      </c>
      <c r="C117" s="1">
        <v>2023</v>
      </c>
      <c r="D117" s="14">
        <f>SUMIFS(Usage_Base!$C:$C,Usage_Base!$A:$A,A117,Usage_Base!$B:$B,C117)</f>
        <v>1810</v>
      </c>
      <c r="E117" s="1" t="str">
        <f>IF(COUNTIF(Assumptions!$A$18:$A$22,A117)&gt;0,A117,"BASELINE")</f>
        <v>PROJECT_MUSE</v>
      </c>
      <c r="F117" s="11">
        <f>INDEX(Assumptions!$B$17:$E$22,MATCH(E117,Assumptions!$A$17:$A$22,0),MATCH(B117,Assumptions!$B$16:$E$16,0))</f>
        <v>0.08</v>
      </c>
      <c r="G117" s="14">
        <f t="shared" si="9"/>
        <v>145</v>
      </c>
      <c r="H117" s="14">
        <f t="shared" si="10"/>
        <v>145</v>
      </c>
      <c r="I117" s="19">
        <v>145</v>
      </c>
      <c r="J117" s="1" t="b">
        <f t="shared" si="11"/>
        <v>1</v>
      </c>
    </row>
    <row r="118" spans="1:10" x14ac:dyDescent="0.35">
      <c r="A118" s="1" t="s">
        <v>41</v>
      </c>
      <c r="B118" s="1" t="s">
        <v>28</v>
      </c>
      <c r="C118" s="1">
        <v>2023</v>
      </c>
      <c r="D118" s="14">
        <f>SUMIFS(Usage_Base!$C:$C,Usage_Base!$A:$A,A118,Usage_Base!$B:$B,C118)</f>
        <v>1810</v>
      </c>
      <c r="E118" s="1" t="str">
        <f>IF(COUNTIF(Assumptions!$A$18:$A$22,A118)&gt;0,A118,"BASELINE")</f>
        <v>PROJECT_MUSE</v>
      </c>
      <c r="F118" s="11">
        <f>INDEX(Assumptions!$B$17:$E$22,MATCH(E118,Assumptions!$A$17:$A$22,0),MATCH(B118,Assumptions!$B$16:$E$16,0))</f>
        <v>0.1</v>
      </c>
      <c r="G118" s="14">
        <f t="shared" si="9"/>
        <v>181</v>
      </c>
      <c r="H118" s="14">
        <f t="shared" si="10"/>
        <v>181</v>
      </c>
      <c r="I118" s="19">
        <v>181</v>
      </c>
      <c r="J118" s="1" t="b">
        <f t="shared" si="11"/>
        <v>1</v>
      </c>
    </row>
    <row r="119" spans="1:10" x14ac:dyDescent="0.35">
      <c r="A119" s="1" t="s">
        <v>41</v>
      </c>
      <c r="B119" s="1" t="s">
        <v>29</v>
      </c>
      <c r="C119" s="1">
        <v>2023</v>
      </c>
      <c r="D119" s="14">
        <f>SUMIFS(Usage_Base!$C:$C,Usage_Base!$A:$A,A119,Usage_Base!$B:$B,C119)</f>
        <v>1810</v>
      </c>
      <c r="E119" s="1" t="str">
        <f>IF(COUNTIF(Assumptions!$A$18:$A$22,A119)&gt;0,A119,"BASELINE")</f>
        <v>PROJECT_MUSE</v>
      </c>
      <c r="F119" s="11">
        <f>INDEX(Assumptions!$B$17:$E$22,MATCH(E119,Assumptions!$A$17:$A$22,0),MATCH(B119,Assumptions!$B$16:$E$16,0))</f>
        <v>0.77</v>
      </c>
      <c r="G119" s="14">
        <f t="shared" si="9"/>
        <v>1394</v>
      </c>
      <c r="H119" s="14">
        <f t="shared" si="10"/>
        <v>1394</v>
      </c>
      <c r="I119" s="19">
        <v>1394</v>
      </c>
      <c r="J119" s="1" t="b">
        <f t="shared" si="11"/>
        <v>1</v>
      </c>
    </row>
    <row r="120" spans="1:10" x14ac:dyDescent="0.35">
      <c r="A120" s="1" t="s">
        <v>41</v>
      </c>
      <c r="B120" s="1" t="s">
        <v>26</v>
      </c>
      <c r="C120" s="1">
        <v>2024</v>
      </c>
      <c r="D120" s="14">
        <f>SUMIFS(Usage_Base!$C:$C,Usage_Base!$A:$A,A120,Usage_Base!$B:$B,C120)</f>
        <v>1840</v>
      </c>
      <c r="E120" s="1" t="str">
        <f>IF(COUNTIF(Assumptions!$A$18:$A$22,A120)&gt;0,A120,"BASELINE")</f>
        <v>PROJECT_MUSE</v>
      </c>
      <c r="F120" s="11">
        <f>INDEX(Assumptions!$B$17:$E$22,MATCH(E120,Assumptions!$A$17:$A$22,0),MATCH(B120,Assumptions!$B$16:$E$16,0))</f>
        <v>0.05</v>
      </c>
      <c r="G120" s="14">
        <f t="shared" si="9"/>
        <v>92</v>
      </c>
      <c r="H120" s="14">
        <f t="shared" si="10"/>
        <v>92</v>
      </c>
      <c r="I120" s="19">
        <v>92</v>
      </c>
      <c r="J120" s="1" t="b">
        <f t="shared" si="11"/>
        <v>1</v>
      </c>
    </row>
    <row r="121" spans="1:10" x14ac:dyDescent="0.35">
      <c r="A121" s="1" t="s">
        <v>41</v>
      </c>
      <c r="B121" s="1" t="s">
        <v>27</v>
      </c>
      <c r="C121" s="1">
        <v>2024</v>
      </c>
      <c r="D121" s="14">
        <f>SUMIFS(Usage_Base!$C:$C,Usage_Base!$A:$A,A121,Usage_Base!$B:$B,C121)</f>
        <v>1840</v>
      </c>
      <c r="E121" s="1" t="str">
        <f>IF(COUNTIF(Assumptions!$A$18:$A$22,A121)&gt;0,A121,"BASELINE")</f>
        <v>PROJECT_MUSE</v>
      </c>
      <c r="F121" s="11">
        <f>INDEX(Assumptions!$B$17:$E$22,MATCH(E121,Assumptions!$A$17:$A$22,0),MATCH(B121,Assumptions!$B$16:$E$16,0))</f>
        <v>0.08</v>
      </c>
      <c r="G121" s="14">
        <f t="shared" si="9"/>
        <v>147</v>
      </c>
      <c r="H121" s="14">
        <f t="shared" si="10"/>
        <v>147</v>
      </c>
      <c r="I121" s="19">
        <v>147</v>
      </c>
      <c r="J121" s="1" t="b">
        <f t="shared" si="11"/>
        <v>1</v>
      </c>
    </row>
    <row r="122" spans="1:10" x14ac:dyDescent="0.35">
      <c r="A122" s="1" t="s">
        <v>41</v>
      </c>
      <c r="B122" s="1" t="s">
        <v>28</v>
      </c>
      <c r="C122" s="1">
        <v>2024</v>
      </c>
      <c r="D122" s="14">
        <f>SUMIFS(Usage_Base!$C:$C,Usage_Base!$A:$A,A122,Usage_Base!$B:$B,C122)</f>
        <v>1840</v>
      </c>
      <c r="E122" s="1" t="str">
        <f>IF(COUNTIF(Assumptions!$A$18:$A$22,A122)&gt;0,A122,"BASELINE")</f>
        <v>PROJECT_MUSE</v>
      </c>
      <c r="F122" s="11">
        <f>INDEX(Assumptions!$B$17:$E$22,MATCH(E122,Assumptions!$A$17:$A$22,0),MATCH(B122,Assumptions!$B$16:$E$16,0))</f>
        <v>0.1</v>
      </c>
      <c r="G122" s="14">
        <f t="shared" si="9"/>
        <v>184</v>
      </c>
      <c r="H122" s="14">
        <f t="shared" si="10"/>
        <v>184</v>
      </c>
      <c r="I122" s="19">
        <v>184</v>
      </c>
      <c r="J122" s="1" t="b">
        <f t="shared" si="11"/>
        <v>1</v>
      </c>
    </row>
    <row r="123" spans="1:10" x14ac:dyDescent="0.35">
      <c r="A123" s="1" t="s">
        <v>41</v>
      </c>
      <c r="B123" s="1" t="s">
        <v>29</v>
      </c>
      <c r="C123" s="1">
        <v>2024</v>
      </c>
      <c r="D123" s="14">
        <f>SUMIFS(Usage_Base!$C:$C,Usage_Base!$A:$A,A123,Usage_Base!$B:$B,C123)</f>
        <v>1840</v>
      </c>
      <c r="E123" s="1" t="str">
        <f>IF(COUNTIF(Assumptions!$A$18:$A$22,A123)&gt;0,A123,"BASELINE")</f>
        <v>PROJECT_MUSE</v>
      </c>
      <c r="F123" s="11">
        <f>INDEX(Assumptions!$B$17:$E$22,MATCH(E123,Assumptions!$A$17:$A$22,0),MATCH(B123,Assumptions!$B$16:$E$16,0))</f>
        <v>0.77</v>
      </c>
      <c r="G123" s="14">
        <f t="shared" si="9"/>
        <v>1417</v>
      </c>
      <c r="H123" s="14">
        <f t="shared" si="10"/>
        <v>1417</v>
      </c>
      <c r="I123" s="19">
        <v>1417</v>
      </c>
      <c r="J123" s="1" t="b">
        <f t="shared" si="11"/>
        <v>1</v>
      </c>
    </row>
    <row r="124" spans="1:10" x14ac:dyDescent="0.35">
      <c r="A124" s="1" t="s">
        <v>84</v>
      </c>
      <c r="B124" s="1" t="s">
        <v>26</v>
      </c>
      <c r="C124" s="1">
        <v>2022</v>
      </c>
      <c r="D124" s="14">
        <f>SUMIFS(Usage_Base!$C:$C,Usage_Base!$A:$A,A124,Usage_Base!$B:$B,C124)</f>
        <v>4800</v>
      </c>
      <c r="E124" s="1" t="str">
        <f>IF(COUNTIF(Assumptions!$A$18:$A$22,A124)&gt;0,A124,"BASELINE")</f>
        <v>BASELINE</v>
      </c>
      <c r="F124" s="11">
        <f>INDEX(Assumptions!$B$17:$E$22,MATCH(E124,Assumptions!$A$17:$A$22,0),MATCH(B124,Assumptions!$B$16:$E$16,0))</f>
        <v>0.3</v>
      </c>
      <c r="G124" s="14">
        <f t="shared" si="9"/>
        <v>1440</v>
      </c>
      <c r="H124" s="14">
        <f t="shared" si="10"/>
        <v>1440</v>
      </c>
      <c r="I124" s="19">
        <v>1440</v>
      </c>
      <c r="J124" s="1" t="b">
        <f t="shared" si="11"/>
        <v>1</v>
      </c>
    </row>
    <row r="125" spans="1:10" x14ac:dyDescent="0.35">
      <c r="A125" s="1" t="s">
        <v>84</v>
      </c>
      <c r="B125" s="1" t="s">
        <v>27</v>
      </c>
      <c r="C125" s="1">
        <v>2022</v>
      </c>
      <c r="D125" s="14">
        <f>SUMIFS(Usage_Base!$C:$C,Usage_Base!$A:$A,A125,Usage_Base!$B:$B,C125)</f>
        <v>4800</v>
      </c>
      <c r="E125" s="1" t="str">
        <f>IF(COUNTIF(Assumptions!$A$18:$A$22,A125)&gt;0,A125,"BASELINE")</f>
        <v>BASELINE</v>
      </c>
      <c r="F125" s="11">
        <f>INDEX(Assumptions!$B$17:$E$22,MATCH(E125,Assumptions!$A$17:$A$22,0),MATCH(B125,Assumptions!$B$16:$E$16,0))</f>
        <v>0.25</v>
      </c>
      <c r="G125" s="14">
        <f t="shared" si="9"/>
        <v>1200</v>
      </c>
      <c r="H125" s="14">
        <f t="shared" si="10"/>
        <v>1200</v>
      </c>
      <c r="I125" s="19">
        <v>1200</v>
      </c>
      <c r="J125" s="1" t="b">
        <f t="shared" si="11"/>
        <v>1</v>
      </c>
    </row>
    <row r="126" spans="1:10" x14ac:dyDescent="0.35">
      <c r="A126" s="1" t="s">
        <v>84</v>
      </c>
      <c r="B126" s="1" t="s">
        <v>28</v>
      </c>
      <c r="C126" s="1">
        <v>2022</v>
      </c>
      <c r="D126" s="14">
        <f>SUMIFS(Usage_Base!$C:$C,Usage_Base!$A:$A,A126,Usage_Base!$B:$B,C126)</f>
        <v>4800</v>
      </c>
      <c r="E126" s="1" t="str">
        <f>IF(COUNTIF(Assumptions!$A$18:$A$22,A126)&gt;0,A126,"BASELINE")</f>
        <v>BASELINE</v>
      </c>
      <c r="F126" s="11">
        <f>INDEX(Assumptions!$B$17:$E$22,MATCH(E126,Assumptions!$A$17:$A$22,0),MATCH(B126,Assumptions!$B$16:$E$16,0))</f>
        <v>0.2</v>
      </c>
      <c r="G126" s="14">
        <f t="shared" si="9"/>
        <v>960</v>
      </c>
      <c r="H126" s="14">
        <f t="shared" si="10"/>
        <v>960</v>
      </c>
      <c r="I126" s="19">
        <v>960</v>
      </c>
      <c r="J126" s="1" t="b">
        <f t="shared" si="11"/>
        <v>1</v>
      </c>
    </row>
    <row r="127" spans="1:10" x14ac:dyDescent="0.35">
      <c r="A127" s="1" t="s">
        <v>84</v>
      </c>
      <c r="B127" s="1" t="s">
        <v>29</v>
      </c>
      <c r="C127" s="1">
        <v>2022</v>
      </c>
      <c r="D127" s="14">
        <f>SUMIFS(Usage_Base!$C:$C,Usage_Base!$A:$A,A127,Usage_Base!$B:$B,C127)</f>
        <v>4800</v>
      </c>
      <c r="E127" s="1" t="str">
        <f>IF(COUNTIF(Assumptions!$A$18:$A$22,A127)&gt;0,A127,"BASELINE")</f>
        <v>BASELINE</v>
      </c>
      <c r="F127" s="11">
        <f>INDEX(Assumptions!$B$17:$E$22,MATCH(E127,Assumptions!$A$17:$A$22,0),MATCH(B127,Assumptions!$B$16:$E$16,0))</f>
        <v>0.25</v>
      </c>
      <c r="G127" s="14">
        <f t="shared" si="9"/>
        <v>1200</v>
      </c>
      <c r="H127" s="14">
        <f t="shared" si="10"/>
        <v>1200</v>
      </c>
      <c r="I127" s="19">
        <v>1200</v>
      </c>
      <c r="J127" s="1" t="b">
        <f t="shared" si="11"/>
        <v>1</v>
      </c>
    </row>
    <row r="128" spans="1:10" x14ac:dyDescent="0.35">
      <c r="A128" s="1" t="s">
        <v>84</v>
      </c>
      <c r="B128" s="1" t="s">
        <v>26</v>
      </c>
      <c r="C128" s="1">
        <v>2023</v>
      </c>
      <c r="D128" s="14">
        <f>SUMIFS(Usage_Base!$C:$C,Usage_Base!$A:$A,A128,Usage_Base!$B:$B,C128)</f>
        <v>4950</v>
      </c>
      <c r="E128" s="1" t="str">
        <f>IF(COUNTIF(Assumptions!$A$18:$A$22,A128)&gt;0,A128,"BASELINE")</f>
        <v>BASELINE</v>
      </c>
      <c r="F128" s="11">
        <f>INDEX(Assumptions!$B$17:$E$22,MATCH(E128,Assumptions!$A$17:$A$22,0),MATCH(B128,Assumptions!$B$16:$E$16,0))</f>
        <v>0.3</v>
      </c>
      <c r="G128" s="14">
        <f t="shared" si="9"/>
        <v>1485</v>
      </c>
      <c r="H128" s="14">
        <f t="shared" si="10"/>
        <v>1485</v>
      </c>
      <c r="I128" s="19">
        <v>1485</v>
      </c>
      <c r="J128" s="1" t="b">
        <f t="shared" si="11"/>
        <v>1</v>
      </c>
    </row>
    <row r="129" spans="1:10" x14ac:dyDescent="0.35">
      <c r="A129" s="1" t="s">
        <v>84</v>
      </c>
      <c r="B129" s="1" t="s">
        <v>27</v>
      </c>
      <c r="C129" s="1">
        <v>2023</v>
      </c>
      <c r="D129" s="14">
        <f>SUMIFS(Usage_Base!$C:$C,Usage_Base!$A:$A,A129,Usage_Base!$B:$B,C129)</f>
        <v>4950</v>
      </c>
      <c r="E129" s="1" t="str">
        <f>IF(COUNTIF(Assumptions!$A$18:$A$22,A129)&gt;0,A129,"BASELINE")</f>
        <v>BASELINE</v>
      </c>
      <c r="F129" s="11">
        <f>INDEX(Assumptions!$B$17:$E$22,MATCH(E129,Assumptions!$A$17:$A$22,0),MATCH(B129,Assumptions!$B$16:$E$16,0))</f>
        <v>0.25</v>
      </c>
      <c r="G129" s="14">
        <f t="shared" si="9"/>
        <v>1238</v>
      </c>
      <c r="H129" s="14">
        <f t="shared" si="10"/>
        <v>1238</v>
      </c>
      <c r="I129" s="19">
        <v>1238</v>
      </c>
      <c r="J129" s="1" t="b">
        <f t="shared" si="11"/>
        <v>1</v>
      </c>
    </row>
    <row r="130" spans="1:10" x14ac:dyDescent="0.35">
      <c r="A130" s="1" t="s">
        <v>84</v>
      </c>
      <c r="B130" s="1" t="s">
        <v>28</v>
      </c>
      <c r="C130" s="1">
        <v>2023</v>
      </c>
      <c r="D130" s="14">
        <f>SUMIFS(Usage_Base!$C:$C,Usage_Base!$A:$A,A130,Usage_Base!$B:$B,C130)</f>
        <v>4950</v>
      </c>
      <c r="E130" s="1" t="str">
        <f>IF(COUNTIF(Assumptions!$A$18:$A$22,A130)&gt;0,A130,"BASELINE")</f>
        <v>BASELINE</v>
      </c>
      <c r="F130" s="11">
        <f>INDEX(Assumptions!$B$17:$E$22,MATCH(E130,Assumptions!$A$17:$A$22,0),MATCH(B130,Assumptions!$B$16:$E$16,0))</f>
        <v>0.2</v>
      </c>
      <c r="G130" s="14">
        <f t="shared" si="9"/>
        <v>990</v>
      </c>
      <c r="H130" s="14">
        <f t="shared" si="10"/>
        <v>990</v>
      </c>
      <c r="I130" s="19">
        <v>990</v>
      </c>
      <c r="J130" s="1" t="b">
        <f t="shared" si="11"/>
        <v>1</v>
      </c>
    </row>
    <row r="131" spans="1:10" x14ac:dyDescent="0.35">
      <c r="A131" s="1" t="s">
        <v>84</v>
      </c>
      <c r="B131" s="1" t="s">
        <v>29</v>
      </c>
      <c r="C131" s="1">
        <v>2023</v>
      </c>
      <c r="D131" s="14">
        <f>SUMIFS(Usage_Base!$C:$C,Usage_Base!$A:$A,A131,Usage_Base!$B:$B,C131)</f>
        <v>4950</v>
      </c>
      <c r="E131" s="1" t="str">
        <f>IF(COUNTIF(Assumptions!$A$18:$A$22,A131)&gt;0,A131,"BASELINE")</f>
        <v>BASELINE</v>
      </c>
      <c r="F131" s="11">
        <f>INDEX(Assumptions!$B$17:$E$22,MATCH(E131,Assumptions!$A$17:$A$22,0),MATCH(B131,Assumptions!$B$16:$E$16,0))</f>
        <v>0.25</v>
      </c>
      <c r="G131" s="14">
        <f t="shared" si="9"/>
        <v>1238</v>
      </c>
      <c r="H131" s="14">
        <f t="shared" si="10"/>
        <v>1237</v>
      </c>
      <c r="I131" s="19">
        <v>1237</v>
      </c>
      <c r="J131" s="1" t="b">
        <f t="shared" si="11"/>
        <v>1</v>
      </c>
    </row>
    <row r="132" spans="1:10" x14ac:dyDescent="0.35">
      <c r="A132" s="1" t="s">
        <v>84</v>
      </c>
      <c r="B132" s="1" t="s">
        <v>26</v>
      </c>
      <c r="C132" s="1">
        <v>2024</v>
      </c>
      <c r="D132" s="14">
        <f>SUMIFS(Usage_Base!$C:$C,Usage_Base!$A:$A,A132,Usage_Base!$B:$B,C132)</f>
        <v>5100</v>
      </c>
      <c r="E132" s="1" t="str">
        <f>IF(COUNTIF(Assumptions!$A$18:$A$22,A132)&gt;0,A132,"BASELINE")</f>
        <v>BASELINE</v>
      </c>
      <c r="F132" s="11">
        <f>INDEX(Assumptions!$B$17:$E$22,MATCH(E132,Assumptions!$A$17:$A$22,0),MATCH(B132,Assumptions!$B$16:$E$16,0))</f>
        <v>0.3</v>
      </c>
      <c r="G132" s="14">
        <f t="shared" ref="G132:G163" si="12">IF(ROUND(MOD(D132*F132,1),9)=0.5,2*ROUND((D132*F132)/2,0),ROUND(D132*F132,0))</f>
        <v>1530</v>
      </c>
      <c r="H132" s="14">
        <f t="shared" ref="H132:H163" si="13">IF(B132="AHSS",D132-SUMIFS($G:$G,$A:$A,A132,$C:$C,C132,$B:$B,"&lt;&gt;AHSS"),G132)</f>
        <v>1530</v>
      </c>
      <c r="I132" s="19">
        <v>1530</v>
      </c>
      <c r="J132" s="1" t="b">
        <f t="shared" ref="J132:J163" si="14">H132=I132</f>
        <v>1</v>
      </c>
    </row>
    <row r="133" spans="1:10" x14ac:dyDescent="0.35">
      <c r="A133" s="1" t="s">
        <v>84</v>
      </c>
      <c r="B133" s="1" t="s">
        <v>27</v>
      </c>
      <c r="C133" s="1">
        <v>2024</v>
      </c>
      <c r="D133" s="14">
        <f>SUMIFS(Usage_Base!$C:$C,Usage_Base!$A:$A,A133,Usage_Base!$B:$B,C133)</f>
        <v>5100</v>
      </c>
      <c r="E133" s="1" t="str">
        <f>IF(COUNTIF(Assumptions!$A$18:$A$22,A133)&gt;0,A133,"BASELINE")</f>
        <v>BASELINE</v>
      </c>
      <c r="F133" s="11">
        <f>INDEX(Assumptions!$B$17:$E$22,MATCH(E133,Assumptions!$A$17:$A$22,0),MATCH(B133,Assumptions!$B$16:$E$16,0))</f>
        <v>0.25</v>
      </c>
      <c r="G133" s="14">
        <f t="shared" si="12"/>
        <v>1275</v>
      </c>
      <c r="H133" s="14">
        <f t="shared" si="13"/>
        <v>1275</v>
      </c>
      <c r="I133" s="19">
        <v>1275</v>
      </c>
      <c r="J133" s="1" t="b">
        <f t="shared" si="14"/>
        <v>1</v>
      </c>
    </row>
    <row r="134" spans="1:10" x14ac:dyDescent="0.35">
      <c r="A134" s="1" t="s">
        <v>84</v>
      </c>
      <c r="B134" s="1" t="s">
        <v>28</v>
      </c>
      <c r="C134" s="1">
        <v>2024</v>
      </c>
      <c r="D134" s="14">
        <f>SUMIFS(Usage_Base!$C:$C,Usage_Base!$A:$A,A134,Usage_Base!$B:$B,C134)</f>
        <v>5100</v>
      </c>
      <c r="E134" s="1" t="str">
        <f>IF(COUNTIF(Assumptions!$A$18:$A$22,A134)&gt;0,A134,"BASELINE")</f>
        <v>BASELINE</v>
      </c>
      <c r="F134" s="11">
        <f>INDEX(Assumptions!$B$17:$E$22,MATCH(E134,Assumptions!$A$17:$A$22,0),MATCH(B134,Assumptions!$B$16:$E$16,0))</f>
        <v>0.2</v>
      </c>
      <c r="G134" s="14">
        <f t="shared" si="12"/>
        <v>1020</v>
      </c>
      <c r="H134" s="14">
        <f t="shared" si="13"/>
        <v>1020</v>
      </c>
      <c r="I134" s="19">
        <v>1020</v>
      </c>
      <c r="J134" s="1" t="b">
        <f t="shared" si="14"/>
        <v>1</v>
      </c>
    </row>
    <row r="135" spans="1:10" x14ac:dyDescent="0.35">
      <c r="A135" s="1" t="s">
        <v>84</v>
      </c>
      <c r="B135" s="1" t="s">
        <v>29</v>
      </c>
      <c r="C135" s="1">
        <v>2024</v>
      </c>
      <c r="D135" s="14">
        <f>SUMIFS(Usage_Base!$C:$C,Usage_Base!$A:$A,A135,Usage_Base!$B:$B,C135)</f>
        <v>5100</v>
      </c>
      <c r="E135" s="1" t="str">
        <f>IF(COUNTIF(Assumptions!$A$18:$A$22,A135)&gt;0,A135,"BASELINE")</f>
        <v>BASELINE</v>
      </c>
      <c r="F135" s="11">
        <f>INDEX(Assumptions!$B$17:$E$22,MATCH(E135,Assumptions!$A$17:$A$22,0),MATCH(B135,Assumptions!$B$16:$E$16,0))</f>
        <v>0.25</v>
      </c>
      <c r="G135" s="14">
        <f t="shared" si="12"/>
        <v>1275</v>
      </c>
      <c r="H135" s="14">
        <f t="shared" si="13"/>
        <v>1275</v>
      </c>
      <c r="I135" s="19">
        <v>1275</v>
      </c>
      <c r="J135" s="1" t="b">
        <f t="shared" si="14"/>
        <v>1</v>
      </c>
    </row>
    <row r="136" spans="1:10" x14ac:dyDescent="0.35">
      <c r="A136" s="1" t="s">
        <v>87</v>
      </c>
      <c r="B136" s="1" t="s">
        <v>26</v>
      </c>
      <c r="C136" s="1">
        <v>2022</v>
      </c>
      <c r="D136" s="14">
        <f>SUMIFS(Usage_Base!$C:$C,Usage_Base!$A:$A,A136,Usage_Base!$B:$B,C136)</f>
        <v>570</v>
      </c>
      <c r="E136" s="1" t="str">
        <f>IF(COUNTIF(Assumptions!$A$18:$A$22,A136)&gt;0,A136,"BASELINE")</f>
        <v>BASELINE</v>
      </c>
      <c r="F136" s="11">
        <f>INDEX(Assumptions!$B$17:$E$22,MATCH(E136,Assumptions!$A$17:$A$22,0),MATCH(B136,Assumptions!$B$16:$E$16,0))</f>
        <v>0.3</v>
      </c>
      <c r="G136" s="14">
        <f t="shared" si="12"/>
        <v>171</v>
      </c>
      <c r="H136" s="14">
        <f t="shared" si="13"/>
        <v>171</v>
      </c>
      <c r="I136" s="19">
        <v>171</v>
      </c>
      <c r="J136" s="1" t="b">
        <f t="shared" si="14"/>
        <v>1</v>
      </c>
    </row>
    <row r="137" spans="1:10" x14ac:dyDescent="0.35">
      <c r="A137" s="1" t="s">
        <v>87</v>
      </c>
      <c r="B137" s="1" t="s">
        <v>27</v>
      </c>
      <c r="C137" s="1">
        <v>2022</v>
      </c>
      <c r="D137" s="14">
        <f>SUMIFS(Usage_Base!$C:$C,Usage_Base!$A:$A,A137,Usage_Base!$B:$B,C137)</f>
        <v>570</v>
      </c>
      <c r="E137" s="1" t="str">
        <f>IF(COUNTIF(Assumptions!$A$18:$A$22,A137)&gt;0,A137,"BASELINE")</f>
        <v>BASELINE</v>
      </c>
      <c r="F137" s="11">
        <f>INDEX(Assumptions!$B$17:$E$22,MATCH(E137,Assumptions!$A$17:$A$22,0),MATCH(B137,Assumptions!$B$16:$E$16,0))</f>
        <v>0.25</v>
      </c>
      <c r="G137" s="14">
        <f t="shared" si="12"/>
        <v>142</v>
      </c>
      <c r="H137" s="14">
        <f t="shared" si="13"/>
        <v>142</v>
      </c>
      <c r="I137" s="19">
        <v>142</v>
      </c>
      <c r="J137" s="1" t="b">
        <f t="shared" si="14"/>
        <v>1</v>
      </c>
    </row>
    <row r="138" spans="1:10" x14ac:dyDescent="0.35">
      <c r="A138" s="1" t="s">
        <v>87</v>
      </c>
      <c r="B138" s="1" t="s">
        <v>28</v>
      </c>
      <c r="C138" s="1">
        <v>2022</v>
      </c>
      <c r="D138" s="14">
        <f>SUMIFS(Usage_Base!$C:$C,Usage_Base!$A:$A,A138,Usage_Base!$B:$B,C138)</f>
        <v>570</v>
      </c>
      <c r="E138" s="1" t="str">
        <f>IF(COUNTIF(Assumptions!$A$18:$A$22,A138)&gt;0,A138,"BASELINE")</f>
        <v>BASELINE</v>
      </c>
      <c r="F138" s="11">
        <f>INDEX(Assumptions!$B$17:$E$22,MATCH(E138,Assumptions!$A$17:$A$22,0),MATCH(B138,Assumptions!$B$16:$E$16,0))</f>
        <v>0.2</v>
      </c>
      <c r="G138" s="14">
        <f t="shared" si="12"/>
        <v>114</v>
      </c>
      <c r="H138" s="14">
        <f t="shared" si="13"/>
        <v>114</v>
      </c>
      <c r="I138" s="19">
        <v>114</v>
      </c>
      <c r="J138" s="1" t="b">
        <f t="shared" si="14"/>
        <v>1</v>
      </c>
    </row>
    <row r="139" spans="1:10" x14ac:dyDescent="0.35">
      <c r="A139" s="1" t="s">
        <v>87</v>
      </c>
      <c r="B139" s="1" t="s">
        <v>29</v>
      </c>
      <c r="C139" s="1">
        <v>2022</v>
      </c>
      <c r="D139" s="14">
        <f>SUMIFS(Usage_Base!$C:$C,Usage_Base!$A:$A,A139,Usage_Base!$B:$B,C139)</f>
        <v>570</v>
      </c>
      <c r="E139" s="1" t="str">
        <f>IF(COUNTIF(Assumptions!$A$18:$A$22,A139)&gt;0,A139,"BASELINE")</f>
        <v>BASELINE</v>
      </c>
      <c r="F139" s="11">
        <f>INDEX(Assumptions!$B$17:$E$22,MATCH(E139,Assumptions!$A$17:$A$22,0),MATCH(B139,Assumptions!$B$16:$E$16,0))</f>
        <v>0.25</v>
      </c>
      <c r="G139" s="14">
        <f t="shared" si="12"/>
        <v>142</v>
      </c>
      <c r="H139" s="14">
        <f t="shared" si="13"/>
        <v>143</v>
      </c>
      <c r="I139" s="19">
        <v>143</v>
      </c>
      <c r="J139" s="1" t="b">
        <f t="shared" si="14"/>
        <v>1</v>
      </c>
    </row>
    <row r="140" spans="1:10" x14ac:dyDescent="0.35">
      <c r="A140" s="1" t="s">
        <v>87</v>
      </c>
      <c r="B140" s="1" t="s">
        <v>26</v>
      </c>
      <c r="C140" s="1">
        <v>2023</v>
      </c>
      <c r="D140" s="14">
        <f>SUMIFS(Usage_Base!$C:$C,Usage_Base!$A:$A,A140,Usage_Base!$B:$B,C140)</f>
        <v>400</v>
      </c>
      <c r="E140" s="1" t="str">
        <f>IF(COUNTIF(Assumptions!$A$18:$A$22,A140)&gt;0,A140,"BASELINE")</f>
        <v>BASELINE</v>
      </c>
      <c r="F140" s="11">
        <f>INDEX(Assumptions!$B$17:$E$22,MATCH(E140,Assumptions!$A$17:$A$22,0),MATCH(B140,Assumptions!$B$16:$E$16,0))</f>
        <v>0.3</v>
      </c>
      <c r="G140" s="14">
        <f t="shared" si="12"/>
        <v>120</v>
      </c>
      <c r="H140" s="14">
        <f t="shared" si="13"/>
        <v>120</v>
      </c>
      <c r="I140" s="19">
        <v>120</v>
      </c>
      <c r="J140" s="1" t="b">
        <f t="shared" si="14"/>
        <v>1</v>
      </c>
    </row>
    <row r="141" spans="1:10" x14ac:dyDescent="0.35">
      <c r="A141" s="1" t="s">
        <v>87</v>
      </c>
      <c r="B141" s="1" t="s">
        <v>27</v>
      </c>
      <c r="C141" s="1">
        <v>2023</v>
      </c>
      <c r="D141" s="14">
        <f>SUMIFS(Usage_Base!$C:$C,Usage_Base!$A:$A,A141,Usage_Base!$B:$B,C141)</f>
        <v>400</v>
      </c>
      <c r="E141" s="1" t="str">
        <f>IF(COUNTIF(Assumptions!$A$18:$A$22,A141)&gt;0,A141,"BASELINE")</f>
        <v>BASELINE</v>
      </c>
      <c r="F141" s="11">
        <f>INDEX(Assumptions!$B$17:$E$22,MATCH(E141,Assumptions!$A$17:$A$22,0),MATCH(B141,Assumptions!$B$16:$E$16,0))</f>
        <v>0.25</v>
      </c>
      <c r="G141" s="14">
        <f t="shared" si="12"/>
        <v>100</v>
      </c>
      <c r="H141" s="14">
        <f t="shared" si="13"/>
        <v>100</v>
      </c>
      <c r="I141" s="19">
        <v>100</v>
      </c>
      <c r="J141" s="1" t="b">
        <f t="shared" si="14"/>
        <v>1</v>
      </c>
    </row>
    <row r="142" spans="1:10" x14ac:dyDescent="0.35">
      <c r="A142" s="1" t="s">
        <v>87</v>
      </c>
      <c r="B142" s="1" t="s">
        <v>28</v>
      </c>
      <c r="C142" s="1">
        <v>2023</v>
      </c>
      <c r="D142" s="14">
        <f>SUMIFS(Usage_Base!$C:$C,Usage_Base!$A:$A,A142,Usage_Base!$B:$B,C142)</f>
        <v>400</v>
      </c>
      <c r="E142" s="1" t="str">
        <f>IF(COUNTIF(Assumptions!$A$18:$A$22,A142)&gt;0,A142,"BASELINE")</f>
        <v>BASELINE</v>
      </c>
      <c r="F142" s="11">
        <f>INDEX(Assumptions!$B$17:$E$22,MATCH(E142,Assumptions!$A$17:$A$22,0),MATCH(B142,Assumptions!$B$16:$E$16,0))</f>
        <v>0.2</v>
      </c>
      <c r="G142" s="14">
        <f t="shared" si="12"/>
        <v>80</v>
      </c>
      <c r="H142" s="14">
        <f t="shared" si="13"/>
        <v>80</v>
      </c>
      <c r="I142" s="19">
        <v>80</v>
      </c>
      <c r="J142" s="1" t="b">
        <f t="shared" si="14"/>
        <v>1</v>
      </c>
    </row>
    <row r="143" spans="1:10" x14ac:dyDescent="0.35">
      <c r="A143" s="1" t="s">
        <v>87</v>
      </c>
      <c r="B143" s="1" t="s">
        <v>29</v>
      </c>
      <c r="C143" s="1">
        <v>2023</v>
      </c>
      <c r="D143" s="14">
        <f>SUMIFS(Usage_Base!$C:$C,Usage_Base!$A:$A,A143,Usage_Base!$B:$B,C143)</f>
        <v>400</v>
      </c>
      <c r="E143" s="1" t="str">
        <f>IF(COUNTIF(Assumptions!$A$18:$A$22,A143)&gt;0,A143,"BASELINE")</f>
        <v>BASELINE</v>
      </c>
      <c r="F143" s="11">
        <f>INDEX(Assumptions!$B$17:$E$22,MATCH(E143,Assumptions!$A$17:$A$22,0),MATCH(B143,Assumptions!$B$16:$E$16,0))</f>
        <v>0.25</v>
      </c>
      <c r="G143" s="14">
        <f t="shared" si="12"/>
        <v>100</v>
      </c>
      <c r="H143" s="14">
        <f t="shared" si="13"/>
        <v>100</v>
      </c>
      <c r="I143" s="19">
        <v>100</v>
      </c>
      <c r="J143" s="1" t="b">
        <f t="shared" si="14"/>
        <v>1</v>
      </c>
    </row>
    <row r="144" spans="1:10" x14ac:dyDescent="0.35">
      <c r="A144" s="1" t="s">
        <v>87</v>
      </c>
      <c r="B144" s="1" t="s">
        <v>26</v>
      </c>
      <c r="C144" s="1">
        <v>2024</v>
      </c>
      <c r="D144" s="14">
        <f>SUMIFS(Usage_Base!$C:$C,Usage_Base!$A:$A,A144,Usage_Base!$B:$B,C144)</f>
        <v>230</v>
      </c>
      <c r="E144" s="1" t="str">
        <f>IF(COUNTIF(Assumptions!$A$18:$A$22,A144)&gt;0,A144,"BASELINE")</f>
        <v>BASELINE</v>
      </c>
      <c r="F144" s="11">
        <f>INDEX(Assumptions!$B$17:$E$22,MATCH(E144,Assumptions!$A$17:$A$22,0),MATCH(B144,Assumptions!$B$16:$E$16,0))</f>
        <v>0.3</v>
      </c>
      <c r="G144" s="14">
        <f t="shared" si="12"/>
        <v>69</v>
      </c>
      <c r="H144" s="14">
        <f t="shared" si="13"/>
        <v>69</v>
      </c>
      <c r="I144" s="19">
        <v>69</v>
      </c>
      <c r="J144" s="1" t="b">
        <f t="shared" si="14"/>
        <v>1</v>
      </c>
    </row>
    <row r="145" spans="1:10" x14ac:dyDescent="0.35">
      <c r="A145" s="1" t="s">
        <v>87</v>
      </c>
      <c r="B145" s="1" t="s">
        <v>27</v>
      </c>
      <c r="C145" s="1">
        <v>2024</v>
      </c>
      <c r="D145" s="14">
        <f>SUMIFS(Usage_Base!$C:$C,Usage_Base!$A:$A,A145,Usage_Base!$B:$B,C145)</f>
        <v>230</v>
      </c>
      <c r="E145" s="1" t="str">
        <f>IF(COUNTIF(Assumptions!$A$18:$A$22,A145)&gt;0,A145,"BASELINE")</f>
        <v>BASELINE</v>
      </c>
      <c r="F145" s="11">
        <f>INDEX(Assumptions!$B$17:$E$22,MATCH(E145,Assumptions!$A$17:$A$22,0),MATCH(B145,Assumptions!$B$16:$E$16,0))</f>
        <v>0.25</v>
      </c>
      <c r="G145" s="14">
        <f t="shared" si="12"/>
        <v>58</v>
      </c>
      <c r="H145" s="14">
        <f t="shared" si="13"/>
        <v>58</v>
      </c>
      <c r="I145" s="19">
        <v>58</v>
      </c>
      <c r="J145" s="1" t="b">
        <f t="shared" si="14"/>
        <v>1</v>
      </c>
    </row>
    <row r="146" spans="1:10" x14ac:dyDescent="0.35">
      <c r="A146" s="1" t="s">
        <v>87</v>
      </c>
      <c r="B146" s="1" t="s">
        <v>28</v>
      </c>
      <c r="C146" s="1">
        <v>2024</v>
      </c>
      <c r="D146" s="14">
        <f>SUMIFS(Usage_Base!$C:$C,Usage_Base!$A:$A,A146,Usage_Base!$B:$B,C146)</f>
        <v>230</v>
      </c>
      <c r="E146" s="1" t="str">
        <f>IF(COUNTIF(Assumptions!$A$18:$A$22,A146)&gt;0,A146,"BASELINE")</f>
        <v>BASELINE</v>
      </c>
      <c r="F146" s="11">
        <f>INDEX(Assumptions!$B$17:$E$22,MATCH(E146,Assumptions!$A$17:$A$22,0),MATCH(B146,Assumptions!$B$16:$E$16,0))</f>
        <v>0.2</v>
      </c>
      <c r="G146" s="14">
        <f t="shared" si="12"/>
        <v>46</v>
      </c>
      <c r="H146" s="14">
        <f t="shared" si="13"/>
        <v>46</v>
      </c>
      <c r="I146" s="19">
        <v>46</v>
      </c>
      <c r="J146" s="1" t="b">
        <f t="shared" si="14"/>
        <v>1</v>
      </c>
    </row>
    <row r="147" spans="1:10" x14ac:dyDescent="0.35">
      <c r="A147" s="1" t="s">
        <v>87</v>
      </c>
      <c r="B147" s="1" t="s">
        <v>29</v>
      </c>
      <c r="C147" s="1">
        <v>2024</v>
      </c>
      <c r="D147" s="14">
        <f>SUMIFS(Usage_Base!$C:$C,Usage_Base!$A:$A,A147,Usage_Base!$B:$B,C147)</f>
        <v>230</v>
      </c>
      <c r="E147" s="1" t="str">
        <f>IF(COUNTIF(Assumptions!$A$18:$A$22,A147)&gt;0,A147,"BASELINE")</f>
        <v>BASELINE</v>
      </c>
      <c r="F147" s="11">
        <f>INDEX(Assumptions!$B$17:$E$22,MATCH(E147,Assumptions!$A$17:$A$22,0),MATCH(B147,Assumptions!$B$16:$E$16,0))</f>
        <v>0.25</v>
      </c>
      <c r="G147" s="14">
        <f t="shared" si="12"/>
        <v>58</v>
      </c>
      <c r="H147" s="14">
        <f t="shared" si="13"/>
        <v>57</v>
      </c>
      <c r="I147" s="19">
        <v>57</v>
      </c>
      <c r="J147" s="1" t="b">
        <f t="shared" si="14"/>
        <v>1</v>
      </c>
    </row>
  </sheetData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D1CFF-6F58-4CD5-90EE-62DFFDF85395}">
  <dimension ref="A1:D10"/>
  <sheetViews>
    <sheetView workbookViewId="0">
      <pane ySplit="3" topLeftCell="A4" activePane="bottomLeft" state="frozenSplit"/>
      <selection pane="bottomLeft"/>
    </sheetView>
  </sheetViews>
  <sheetFormatPr defaultRowHeight="12.75" x14ac:dyDescent="0.35"/>
  <cols>
    <col min="1" max="1" width="44.5625" style="1" customWidth="1"/>
    <col min="2" max="4" width="22.5625" style="1" customWidth="1"/>
    <col min="5" max="16384" width="9" style="1"/>
  </cols>
  <sheetData>
    <row r="1" spans="1:4" ht="16.899999999999999" x14ac:dyDescent="0.35">
      <c r="A1" s="2" t="s">
        <v>135</v>
      </c>
    </row>
    <row r="2" spans="1:4" x14ac:dyDescent="0.35">
      <c r="A2" s="3" t="s">
        <v>136</v>
      </c>
    </row>
    <row r="3" spans="1:4" ht="39.4" x14ac:dyDescent="0.35">
      <c r="A3" s="5" t="s">
        <v>137</v>
      </c>
      <c r="B3" s="5" t="s">
        <v>138</v>
      </c>
      <c r="C3" s="5" t="s">
        <v>139</v>
      </c>
      <c r="D3" s="5" t="s">
        <v>140</v>
      </c>
    </row>
    <row r="4" spans="1:4" x14ac:dyDescent="0.35">
      <c r="A4" s="1" t="s">
        <v>141</v>
      </c>
      <c r="B4" s="1">
        <v>36</v>
      </c>
      <c r="C4" s="1">
        <f>SUMPRODUCT((Cost_Source!G4:I15=Cost_Source!J4:L15)*1)</f>
        <v>36</v>
      </c>
      <c r="D4" s="1" t="b">
        <f>C4=B4</f>
        <v>1</v>
      </c>
    </row>
    <row r="5" spans="1:4" x14ac:dyDescent="0.35">
      <c r="A5" s="1" t="s">
        <v>142</v>
      </c>
      <c r="B5" s="1">
        <v>40</v>
      </c>
      <c r="C5" s="1">
        <f>COUNTIF(counter_usage!O4:O43,TRUE)</f>
        <v>40</v>
      </c>
      <c r="D5" s="1" t="b">
        <f>C5=B5</f>
        <v>1</v>
      </c>
    </row>
    <row r="6" spans="1:4" x14ac:dyDescent="0.35">
      <c r="A6" s="1" t="s">
        <v>143</v>
      </c>
      <c r="B6" s="1">
        <v>144</v>
      </c>
      <c r="C6" s="1">
        <f>COUNTIF(faculty_usage!J4:J147,TRUE)</f>
        <v>144</v>
      </c>
      <c r="D6" s="1" t="b">
        <f>C6=B6</f>
        <v>1</v>
      </c>
    </row>
    <row r="8" spans="1:4" ht="13.15" x14ac:dyDescent="0.35">
      <c r="A8" s="4" t="s">
        <v>144</v>
      </c>
      <c r="D8" s="4" t="b">
        <f>AND(D4:D6)</f>
        <v>1</v>
      </c>
    </row>
    <row r="10" spans="1:4" x14ac:dyDescent="0.35">
      <c r="A10" s="1" t="s">
        <v>145</v>
      </c>
      <c r="D10" s="1" t="b">
        <f>SUM(faculty_usage!H4:H147)=SUM(Usage_Base!C4:C39)</f>
        <v>1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8</vt:i4>
      </vt:variant>
    </vt:vector>
  </HeadingPairs>
  <TitlesOfParts>
    <vt:vector size="15" baseType="lpstr">
      <vt:lpstr>README</vt:lpstr>
      <vt:lpstr>Assumptions</vt:lpstr>
      <vt:lpstr>Cost_Source</vt:lpstr>
      <vt:lpstr>Usage_Base</vt:lpstr>
      <vt:lpstr>counter_usage</vt:lpstr>
      <vt:lpstr>faculty_usage</vt:lpstr>
      <vt:lpstr>Checks</vt:lpstr>
      <vt:lpstr>CostFactor</vt:lpstr>
      <vt:lpstr>DenialRate</vt:lpstr>
      <vt:lpstr>SearchRatio</vt:lpstr>
      <vt:lpstr>TA_ID</vt:lpstr>
      <vt:lpstr>TA_Start</vt:lpstr>
      <vt:lpstr>TAOAShare</vt:lpstr>
      <vt:lpstr>UniqueCtrl</vt:lpstr>
      <vt:lpstr>UniqueOA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Ruoxin Liu</dc:creator>
  <cp:lastModifiedBy>Ruoxin Liu</cp:lastModifiedBy>
  <dcterms:created xsi:type="dcterms:W3CDTF">2026-10-13T16:54:22Z</dcterms:created>
  <dcterms:modified xsi:type="dcterms:W3CDTF">2026-10-13T17:17:21Z</dcterms:modified>
</cp:coreProperties>
</file>